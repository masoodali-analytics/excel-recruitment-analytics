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ameed\Downloads\"/>
    </mc:Choice>
  </mc:AlternateContent>
  <bookViews>
    <workbookView xWindow="0" yWindow="0" windowWidth="20490" windowHeight="7620"/>
  </bookViews>
  <sheets>
    <sheet name="Recruitment_Data" sheetId="1" r:id="rId1"/>
    <sheet name="Recruiter_Analysis" sheetId="2" r:id="rId2"/>
    <sheet name="Recruitment Dashboard" sheetId="6" r:id="rId3"/>
    <sheet name="Insights" sheetId="7" r:id="rId4"/>
    <sheet name="Sheet3" sheetId="3" state="hidden" r:id="rId5"/>
    <sheet name="Sheet4" sheetId="4" state="hidden" r:id="rId6"/>
    <sheet name="Sheet5" sheetId="5" state="hidden" r:id="rId7"/>
  </sheets>
  <calcPr calcId="162913"/>
  <pivotCaches>
    <pivotCache cacheId="14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2" l="1"/>
  <c r="D38" i="2"/>
  <c r="D39" i="2"/>
  <c r="D36" i="2"/>
  <c r="D22" i="2"/>
  <c r="D23" i="2"/>
  <c r="D24" i="2"/>
  <c r="D21" i="2"/>
  <c r="C39" i="2"/>
  <c r="C38" i="2"/>
  <c r="C37" i="2"/>
  <c r="C36" i="2"/>
  <c r="B39" i="2"/>
  <c r="B38" i="2"/>
  <c r="B37" i="2"/>
  <c r="B36" i="2"/>
  <c r="C24" i="2"/>
  <c r="C23" i="2"/>
  <c r="C22" i="2"/>
  <c r="C21" i="2"/>
  <c r="B24" i="2"/>
  <c r="B23" i="2"/>
  <c r="B22" i="2"/>
  <c r="B21" i="2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3" i="1"/>
  <c r="L4" i="1"/>
  <c r="L5" i="1"/>
  <c r="L6" i="1"/>
  <c r="L7" i="1"/>
  <c r="L8" i="1"/>
  <c r="L9" i="1"/>
  <c r="L10" i="1"/>
  <c r="L11" i="1"/>
  <c r="L2" i="1"/>
</calcChain>
</file>

<file path=xl/sharedStrings.xml><?xml version="1.0" encoding="utf-8"?>
<sst xmlns="http://schemas.openxmlformats.org/spreadsheetml/2006/main" count="989" uniqueCount="212">
  <si>
    <t>Candidate_ID</t>
  </si>
  <si>
    <t>Recruiter</t>
  </si>
  <si>
    <t>Job_Title</t>
  </si>
  <si>
    <t>Department</t>
  </si>
  <si>
    <t>Application_Date</t>
  </si>
  <si>
    <t>Interview_Date</t>
  </si>
  <si>
    <t>Offer_Date</t>
  </si>
  <si>
    <t>Hire_Date</t>
  </si>
  <si>
    <t>Source</t>
  </si>
  <si>
    <t xml:space="preserve">Status </t>
  </si>
  <si>
    <t>Salary</t>
  </si>
  <si>
    <t>Days_to_Hire</t>
  </si>
  <si>
    <t>C001</t>
  </si>
  <si>
    <t>Alex</t>
  </si>
  <si>
    <t>Data Analyst</t>
  </si>
  <si>
    <t>Analytics</t>
  </si>
  <si>
    <t>LinkedIn</t>
  </si>
  <si>
    <t>Hired</t>
  </si>
  <si>
    <t>C002</t>
  </si>
  <si>
    <t>Sarah</t>
  </si>
  <si>
    <t>Business Analyst</t>
  </si>
  <si>
    <t>Indeed</t>
  </si>
  <si>
    <t>C003</t>
  </si>
  <si>
    <t>David</t>
  </si>
  <si>
    <t>SQL Developer</t>
  </si>
  <si>
    <t>IT</t>
  </si>
  <si>
    <t>Rejected</t>
  </si>
  <si>
    <t>C004</t>
  </si>
  <si>
    <t>Financial Analyst</t>
  </si>
  <si>
    <t>Finance</t>
  </si>
  <si>
    <t>Referral</t>
  </si>
  <si>
    <t>C005</t>
  </si>
  <si>
    <t>Maria</t>
  </si>
  <si>
    <t>C006</t>
  </si>
  <si>
    <t>HR Analyst</t>
  </si>
  <si>
    <t>Human Resources</t>
  </si>
  <si>
    <t>C007</t>
  </si>
  <si>
    <t>BI Analyst</t>
  </si>
  <si>
    <t>C008</t>
  </si>
  <si>
    <t>Company Website</t>
  </si>
  <si>
    <t>C009</t>
  </si>
  <si>
    <t>Operations</t>
  </si>
  <si>
    <t>C010</t>
  </si>
  <si>
    <t>C011</t>
  </si>
  <si>
    <t>C012</t>
  </si>
  <si>
    <t>C013</t>
  </si>
  <si>
    <t>C014</t>
  </si>
  <si>
    <t>C015</t>
  </si>
  <si>
    <t>C016</t>
  </si>
  <si>
    <t>C017</t>
  </si>
  <si>
    <t>Operations Analyst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</si>
  <si>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</si>
  <si>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</si>
  <si>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</si>
  <si>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</si>
  <si>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</si>
  <si>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</si>
  <si>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</si>
  <si>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</si>
  <si>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</si>
  <si>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</si>
  <si>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</si>
  <si>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</si>
  <si>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</si>
  <si>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</si>
  <si>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</si>
  <si>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</si>
  <si>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</si>
  <si>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</si>
  <si>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</si>
  <si>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</si>
  <si>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</si>
  <si>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</si>
  <si>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</si>
  <si>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</si>
  <si>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</si>
  <si>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</si>
  <si>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</si>
  <si>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</si>
  <si>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</si>
  <si>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</si>
  <si>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</si>
  <si>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</si>
  <si>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</si>
  <si>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</si>
  <si>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</si>
  <si>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</si>
  <si>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</si>
  <si>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</si>
  <si>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</si>
  <si>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</si>
  <si>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</si>
  <si>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</si>
  <si>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</si>
  <si>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</si>
  <si>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</si>
  <si>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</si>
  <si>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</si>
  <si>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</si>
  <si>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</si>
  <si>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</si>
  <si>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</si>
  <si>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</si>
  <si>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</si>
  <si>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</si>
  <si>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</si>
  <si>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</si>
  <si>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</si>
  <si>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</si>
  <si>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</si>
  <si>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</si>
  <si>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</si>
  <si>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</si>
  <si>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</si>
  <si>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</si>
  <si>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</si>
  <si>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</si>
  <si>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</si>
  <si>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</si>
  <si>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</si>
  <si>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</si>
  <si>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</si>
  <si>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</si>
  <si>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</si>
  <si>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</si>
  <si>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</si>
  <si>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</si>
  <si>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</si>
  <si>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</si>
  <si>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</si>
  <si>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</si>
  <si>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</si>
  <si>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</si>
  <si>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</si>
  <si>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</si>
  <si>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</si>
  <si>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</si>
  <si>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</si>
  <si>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</si>
  <si>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</si>
  <si>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</si>
  <si>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</si>
  <si>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</si>
  <si>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</si>
  <si>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</si>
  <si>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</si>
  <si>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</si>
  <si>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</si>
  <si>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</si>
  <si>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</si>
  <si>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</si>
  <si>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</si>
  <si>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</si>
  <si>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</si>
  <si>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</si>
  <si>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</si>
  <si>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</si>
  <si>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</si>
  <si>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</si>
  <si>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</si>
  <si>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</si>
  <si>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</si>
  <si>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</si>
  <si>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</si>
  <si>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</si>
  <si>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</si>
  <si>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</si>
  <si>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</si>
  <si>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</si>
  <si>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</si>
  <si>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</si>
  <si>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</si>
  <si>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</si>
  <si>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</si>
  <si>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</si>
  <si>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</si>
  <si>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</si>
  <si>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</si>
  <si>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</si>
  <si>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</si>
  <si>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</si>
  <si>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</si>
  <si>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</si>
  <si>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</si>
  <si>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Row Labels</t>
  </si>
  <si>
    <t>Grand Total</t>
  </si>
  <si>
    <t>Column Labels</t>
  </si>
  <si>
    <t>Count of Candidate_ID</t>
  </si>
  <si>
    <t>Average of Days_to_Hire</t>
  </si>
  <si>
    <t xml:space="preserve">Hired </t>
  </si>
  <si>
    <t>Total Candidates</t>
  </si>
  <si>
    <t>Hiring Rate</t>
  </si>
  <si>
    <t>Recruitment Analytics Dashboard</t>
  </si>
  <si>
    <t>Total Hired</t>
  </si>
  <si>
    <t>Total Rejected</t>
  </si>
  <si>
    <t>Overall Hiring Rate</t>
  </si>
  <si>
    <t>Average Days to Hire</t>
  </si>
  <si>
    <t>Recruitment Analytics - Key Insights</t>
  </si>
  <si>
    <t xml:space="preserve">1. Overall Hiring Performance </t>
  </si>
  <si>
    <t>Out of 150 candidates, 85 were hired and 65 were rejected, resulting in an overall hiring rate of 56.67%.</t>
  </si>
  <si>
    <t>2. Recruiter Performance</t>
  </si>
  <si>
    <t>Alex had the highest hiring rate at 64.29%, while Maria had the lowest at 47.06%. David and Sarah recorded hiring rates of 59.46% and 54.05%, respectively.</t>
  </si>
  <si>
    <t>3. Recruitment Source Effectiveness</t>
  </si>
  <si>
    <t>Referral had the highest hiring rate at 64.10%, while indeed had the lowest at 48.48%. Company Website and LinkedIn had hiring rates of 58.97% and 53.85%, respectively.</t>
  </si>
  <si>
    <t xml:space="preserve">4.Hiring Volume by Recruitment Source </t>
  </si>
  <si>
    <t xml:space="preserve">Referral generated the highest number of hires with 25, followed by Company Website with 23, LinkedIn with 21, and Indeed with 16 hires. </t>
  </si>
  <si>
    <t xml:space="preserve">5. Recruiter Hiring Volume </t>
  </si>
  <si>
    <t xml:space="preserve">Alex recorded the highest number of hires with 27, followed by David with 22, Sarah with 20, and Maria with 16 hires. </t>
  </si>
  <si>
    <t>Business Recommendations</t>
  </si>
  <si>
    <t>1. Prioritize referral recruiting because it produced both the highest hiring rate (64.10%) and the highest number of hires (25).</t>
  </si>
  <si>
    <t>2. Review the Indeed recruitment process because it had the lowest hiring rate at 48.48% and produced the fewest hires (16).</t>
  </si>
  <si>
    <t>3. Review the recruiting practices used by higher performimg recruiters, particularly Alex, to identify approaches that could be shared across the recruitment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</si>
</sst>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-[$$-409]* #,##0.00_ ;_-[$$-409]* \-#,##0.00\ ;_-[$$-409]* &quot;-&quot;??_ ;_-@_ "/>
    <numFmt numFmtId="173" formatCode="[$-409]dd/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173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10" fontId="4" fillId="2" borderId="1" xfId="0" applyNumberFormat="1" applyFont="1" applyFill="1" applyBorder="1" applyAlignment="1">
      <alignment horizontal="center"/>
    </xf>
    <xf numFmtId="0" fontId="8" fillId="0" borderId="0" xfId="0" applyFont="1"/>
    <xf numFmtId="0" fontId="0" fillId="0" borderId="0" xfId="0" applyAlignment="1"/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numFmt numFmtId="165" formatCode="_-[$$-409]* #,##0.00_ ;_-[$$-409]* \-#,##0.00\ ;_-[$$-409]* &quot;-&quot;??_ ;_-@_ "/>
    </dxf>
    <dxf>
      <numFmt numFmtId="173" formatCode="[$-409]dd/mmm/yy;@"/>
    </dxf>
    <dxf>
      <numFmt numFmtId="173" formatCode="[$-409]dd/mmm/yy;@"/>
    </dxf>
    <dxf>
      <numFmt numFmtId="173" formatCode="[$-409]dd/mmm/yy;@"/>
    </dxf>
    <dxf>
      <numFmt numFmtId="173" formatCode="[$-409]dd/m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[Recruitment_Analytics_Portfolio_Project.xlsx]Recruiter_Analysis!PivotTable1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Recruitment Hiring Outcomes</a:t>
            </a:r>
          </a:p>
        </c:rich>
      </c:tx>
      <c:layout>
        <c:manualLayout>
          <c:xMode val="edge"/>
          <c:yMode val="edge"/>
          <c:x val="0.15027084380409897"/>
          <c:y val="5.5652588880935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Recruiter_Analysis!$B$3:$B$4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Recruiter_Analysis!$A$5:$A$9</c:f>
              <c:strCache>
                <c:ptCount val="4"/>
                <c:pt idx="0">
                  <c:v>Alex</c:v>
                </c:pt>
                <c:pt idx="1">
                  <c:v>David</c:v>
                </c:pt>
                <c:pt idx="2">
                  <c:v>Maria</c:v>
                </c:pt>
                <c:pt idx="3">
                  <c:v>Sarah</c:v>
                </c:pt>
              </c:strCache>
            </c:strRef>
          </c:cat>
          <c:val>
            <c:numRef>
              <c:f>Recruiter_Analysis!$B$5:$B$9</c:f>
              <c:numCache>
                <c:formatCode>General</c:formatCode>
                <c:ptCount val="4"/>
                <c:pt idx="0">
                  <c:v>27</c:v>
                </c:pt>
                <c:pt idx="1">
                  <c:v>22</c:v>
                </c:pt>
                <c:pt idx="2">
                  <c:v>16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1-4B43-B0B4-F76B90DED7E9}"/>
            </c:ext>
          </c:extLst>
        </c:ser>
        <c:ser>
          <c:idx val="1"/>
          <c:order val="1"/>
          <c:tx>
            <c:strRef>
              <c:f>Recruiter_Analysis!$C$3:$C$4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Recruiter_Analysis!$A$5:$A$9</c:f>
              <c:strCache>
                <c:ptCount val="4"/>
                <c:pt idx="0">
                  <c:v>Alex</c:v>
                </c:pt>
                <c:pt idx="1">
                  <c:v>David</c:v>
                </c:pt>
                <c:pt idx="2">
                  <c:v>Maria</c:v>
                </c:pt>
                <c:pt idx="3">
                  <c:v>Sarah</c:v>
                </c:pt>
              </c:strCache>
            </c:strRef>
          </c:cat>
          <c:val>
            <c:numRef>
              <c:f>Recruiter_Analysis!$C$5:$C$9</c:f>
              <c:numCache>
                <c:formatCode>General</c:formatCode>
                <c:ptCount val="4"/>
                <c:pt idx="0">
                  <c:v>15</c:v>
                </c:pt>
                <c:pt idx="1">
                  <c:v>15</c:v>
                </c:pt>
                <c:pt idx="2">
                  <c:v>18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1-4B43-B0B4-F76B90DED7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294159"/>
        <c:axId val="182292495"/>
      </c:barChart>
      <c:catAx>
        <c:axId val="18229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2495"/>
        <c:crosses val="autoZero"/>
        <c:auto val="1"/>
        <c:lblAlgn val="ctr"/>
        <c:lblOffset val="100"/>
        <c:noMultiLvlLbl val="0"/>
      </c:catAx>
      <c:valAx>
        <c:axId val="1822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Hiring Rate by Recruiter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Recruiter_Analysis!$D$20</c:f>
              <c:strCache>
                <c:ptCount val="1"/>
                <c:pt idx="0">
                  <c:v>Hiring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Recruiter_Analysis!$A$21:$A$24</c:f>
              <c:strCache>
                <c:ptCount val="4"/>
                <c:pt idx="0">
                  <c:v>Alex</c:v>
                </c:pt>
                <c:pt idx="1">
                  <c:v>David</c:v>
                </c:pt>
                <c:pt idx="2">
                  <c:v>Maria</c:v>
                </c:pt>
                <c:pt idx="3">
                  <c:v>Sarah</c:v>
                </c:pt>
              </c:strCache>
            </c:strRef>
          </c:cat>
          <c:val>
            <c:numRef>
              <c:f>Recruiter_Analysis!$D$21:$D$24</c:f>
              <c:numCache>
                <c:formatCode>0.00%</c:formatCode>
                <c:ptCount val="4"/>
                <c:pt idx="0">
                  <c:v>0.6428571428571429</c:v>
                </c:pt>
                <c:pt idx="1">
                  <c:v>0.59459459459459463</c:v>
                </c:pt>
                <c:pt idx="2">
                  <c:v>0.47058823529411764</c:v>
                </c:pt>
                <c:pt idx="3">
                  <c:v>0.54054054054054057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0-4B8B-BBDD-4C0D4AA40D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977999"/>
        <c:axId val="74979663"/>
      </c:barChart>
      <c:catAx>
        <c:axId val="7497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9663"/>
        <c:crosses val="autoZero"/>
        <c:auto val="1"/>
        <c:lblAlgn val="ctr"/>
        <c:lblOffset val="100"/>
        <c:noMultiLvlLbl val="0"/>
      </c:catAx>
      <c:valAx>
        <c:axId val="7497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Hiring Rate by</a:t>
            </a:r>
            <a:r>
              <a:rPr lang="en-IN" sz="1200" b="1" baseline="0"/>
              <a:t> Recruitment Source</a:t>
            </a:r>
            <a:endParaRPr lang="en-IN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Recruiter_Analysis!$D$35</c:f>
              <c:strCache>
                <c:ptCount val="1"/>
                <c:pt idx="0">
                  <c:v>Hiring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Recruiter_Analysis!$A$36:$A$39</c:f>
              <c:strCache>
                <c:ptCount val="4"/>
                <c:pt idx="0">
                  <c:v>Company Website</c:v>
                </c:pt>
                <c:pt idx="1">
                  <c:v>Indeed</c:v>
                </c:pt>
                <c:pt idx="2">
                  <c:v>LinkedIn</c:v>
                </c:pt>
                <c:pt idx="3">
                  <c:v>Referral</c:v>
                </c:pt>
              </c:strCache>
            </c:strRef>
          </c:cat>
          <c:val>
            <c:numRef>
              <c:f>Recruiter_Analysis!$D$36:$D$39</c:f>
              <c:numCache>
                <c:formatCode>0.00%</c:formatCode>
                <c:ptCount val="4"/>
                <c:pt idx="0">
                  <c:v>0.58974358974358976</c:v>
                </c:pt>
                <c:pt idx="1">
                  <c:v>0.48484848484848486</c:v>
                </c:pt>
                <c:pt idx="2">
                  <c:v>0.53846153846153844</c:v>
                </c:pt>
                <c:pt idx="3">
                  <c:v>0.64102564102564108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A-4FE8-A97E-7F95F78C3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9937343"/>
        <c:axId val="339945247"/>
      </c:barChart>
      <c:catAx>
        <c:axId val="33993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45247"/>
        <c:crosses val="autoZero"/>
        <c:auto val="1"/>
        <c:lblAlgn val="ctr"/>
        <c:lblOffset val="100"/>
        <c:noMultiLvlLbl val="0"/>
      </c:catAx>
      <c:valAx>
        <c:axId val="33994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3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[Recruitment_Analytics_Portfolio_Project.xlsx]Sheet3!PivotTable2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Hires by Recruitment Source</a:t>
            </a:r>
          </a:p>
        </c:rich>
      </c:tx>
      <c:layout>
        <c:manualLayout>
          <c:xMode val="edge"/>
          <c:yMode val="edge"/>
          <c:x val="0.14811853436353242"/>
          <c:y val="6.015037593984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Company Website</c:v>
                </c:pt>
                <c:pt idx="1">
                  <c:v>Indeed</c:v>
                </c:pt>
                <c:pt idx="2">
                  <c:v>LinkedIn</c:v>
                </c:pt>
                <c:pt idx="3">
                  <c:v>Referral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23</c:v>
                </c:pt>
                <c:pt idx="1">
                  <c:v>16</c:v>
                </c:pt>
                <c:pt idx="2">
                  <c:v>21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9-4C6A-A42E-E84019D6C4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9936751"/>
        <c:axId val="2119936335"/>
      </c:barChart>
      <c:catAx>
        <c:axId val="21199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36335"/>
        <c:crosses val="autoZero"/>
        <c:auto val="1"/>
        <c:lblAlgn val="ctr"/>
        <c:lblOffset val="100"/>
        <c:noMultiLvlLbl val="0"/>
      </c:catAx>
      <c:valAx>
        <c:axId val="21199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3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[Recruitment_Analytics_Portfolio_Project.xlsx]Sheet4!PivotTable3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Days to Hire by Recruitment Source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Company Website</c:v>
                </c:pt>
                <c:pt idx="1">
                  <c:v>Indeed</c:v>
                </c:pt>
                <c:pt idx="2">
                  <c:v>LinkedIn</c:v>
                </c:pt>
                <c:pt idx="3">
                  <c:v>Referral</c:v>
                </c:pt>
              </c:strCache>
            </c:strRef>
          </c:cat>
          <c:val>
            <c:numRef>
              <c:f>Sheet4!$B$4:$B$8</c:f>
              <c:numCache>
                <c:formatCode>0.00</c:formatCode>
                <c:ptCount val="4"/>
                <c:pt idx="0">
                  <c:v>21.608695652173914</c:v>
                </c:pt>
                <c:pt idx="1">
                  <c:v>20.5625</c:v>
                </c:pt>
                <c:pt idx="2">
                  <c:v>20.428571428571427</c:v>
                </c:pt>
                <c:pt idx="3">
                  <c:v>21.12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C-41B2-9E4B-352BD82D54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8210959"/>
        <c:axId val="338211791"/>
      </c:barChart>
      <c:catAx>
        <c:axId val="33821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11791"/>
        <c:crosses val="autoZero"/>
        <c:auto val="1"/>
        <c:lblAlgn val="ctr"/>
        <c:lblOffset val="100"/>
        <c:noMultiLvlLbl val="0"/>
      </c:catAx>
      <c:valAx>
        <c:axId val="3382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1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9</xdr:row>
      <xdr:rowOff>161925</xdr:rowOff>
    </xdr:from>
    <xdr:to>
      <xdr:col>1</xdr:col>
      <xdr:colOff>4143376</xdr:colOff>
      <xdr:row>24</xdr:row>
      <xdr:rowOff>58199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4190999</xdr:colOff>
      <xdr:row>9</xdr:row>
      <xdr:rowOff>161925</xdr:rowOff>
    </xdr:from>
    <xdr:to>
      <xdr:col>8</xdr:col>
      <xdr:colOff>304800</xdr:colOff>
      <xdr:row>24</xdr:row>
      <xdr:rowOff>58199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4190999</xdr:colOff>
      <xdr:row>25</xdr:row>
      <xdr:rowOff>95249</xdr:rowOff>
    </xdr:from>
    <xdr:to>
      <xdr:col>8</xdr:col>
      <xdr:colOff>304800</xdr:colOff>
      <xdr:row>39</xdr:row>
      <xdr:rowOff>182023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447675</xdr:colOff>
      <xdr:row>25</xdr:row>
      <xdr:rowOff>95249</xdr:rowOff>
    </xdr:from>
    <xdr:to>
      <xdr:col>1</xdr:col>
      <xdr:colOff>4143376</xdr:colOff>
      <xdr:row>39</xdr:row>
      <xdr:rowOff>182023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100012</xdr:colOff>
      <xdr:row>1</xdr:row>
      <xdr:rowOff>152400</xdr:rowOff>
    </xdr:from>
    <xdr:to>
      <xdr:col>10</xdr:col>
      <xdr:colOff>261937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hammed Masood Ali" refreshedDate="46282.32260590278" createdVersion="6" refreshedVersion="6" minRefreshableVersion="3" recordCount="150">
  <cacheSource type="worksheet">
    <worksheetSource name="Table1"/>
  </cacheSource>
  <cacheFields count="12">
    <cacheField name="Candidate_ID" numFmtId="0">
      <sharedItems count="15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</sharedItems>
    </cacheField>
    <cacheField name="Recruiter" numFmtId="0">
      <sharedItems count="4">
        <s v="Alex"/>
        <s v="Sarah"/>
        <s v="David"/>
        <s v="Maria"/>
      </sharedItems>
    </cacheField>
    <cacheField name="Job_Title" numFmtId="0">
      <sharedItems/>
    </cacheField>
    <cacheField name="Department" numFmtId="0">
      <sharedItems/>
    </cacheField>
    <cacheField name="Application_Date" numFmtId="173">
      <sharedItems containsSemiMixedTypes="0" containsNonDate="0" containsDate="1" containsString="0" minDate="2026-01-05T00:00:00" maxDate="2026-08-01T00:00:00"/>
    </cacheField>
    <cacheField name="Interview_Date" numFmtId="173">
      <sharedItems containsSemiMixedTypes="0" containsNonDate="0" containsDate="1" containsString="0" minDate="2026-01-10T00:00:00" maxDate="2026-08-10T00:00:00"/>
    </cacheField>
    <cacheField name="Offer_Date" numFmtId="0">
      <sharedItems containsNonDate="0" containsDate="1" containsString="0" containsBlank="1" minDate="2026-01-15T00:00:00" maxDate="2026-08-16T00:00:00"/>
    </cacheField>
    <cacheField name="Hire_Date" numFmtId="0">
      <sharedItems containsNonDate="0" containsDate="1" containsString="0" containsBlank="1" minDate="2026-01-22T00:00:00" maxDate="2026-08-24T00:00:00"/>
    </cacheField>
    <cacheField name="Source" numFmtId="0">
      <sharedItems count="4">
        <s v="LinkedIn"/>
        <s v="Indeed"/>
        <s v="Referral"/>
        <s v="Company Website"/>
      </sharedItems>
    </cacheField>
    <cacheField name="Status " numFmtId="0">
      <sharedItems count="2">
        <s v="Hired"/>
        <s v="Rejected"/>
      </sharedItems>
    </cacheField>
    <cacheField name="Salary" numFmtId="165">
      <sharedItems containsString="0" containsBlank="1" containsNumber="1" containsInteger="1" minValue="58000" maxValue="98000"/>
    </cacheField>
    <cacheField name="Days_to_Hire" numFmtId="0">
      <sharedItems containsMixedTypes="1" containsNumber="1" containsInteger="1" minValue="15" maxValue="28" count="14">
        <n v="17"/>
        <n v="20"/>
        <s v=""/>
        <n v="18"/>
        <n v="19"/>
        <n v="22"/>
        <n v="21"/>
        <n v="24"/>
        <n v="26"/>
        <n v="23"/>
        <n v="16"/>
        <n v="25"/>
        <n v="15"/>
        <n v="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s v="Data Analyst"/>
    <s v="Analytics"/>
    <d v="2026-01-05T00:00:00"/>
    <d v="2026-01-10T00:00:00"/>
    <d v="2026-01-15T00:00:00"/>
    <d v="2026-01-22T00:00:00"/>
    <x v="0"/>
    <x v="0"/>
    <n v="72000"/>
    <x v="0"/>
  </r>
  <r>
    <x v="1"/>
    <x v="1"/>
    <s v="Business Analyst"/>
    <s v="Analytics"/>
    <d v="2026-01-07T00:00:00"/>
    <d v="2026-01-14T00:00:00"/>
    <d v="2026-01-20T00:00:00"/>
    <d v="2026-01-27T00:00:00"/>
    <x v="1"/>
    <x v="0"/>
    <n v="76000"/>
    <x v="1"/>
  </r>
  <r>
    <x v="2"/>
    <x v="2"/>
    <s v="SQL Developer"/>
    <s v="IT"/>
    <d v="2026-01-08T00:00:00"/>
    <d v="2026-01-16T00:00:00"/>
    <m/>
    <m/>
    <x v="0"/>
    <x v="1"/>
    <m/>
    <x v="2"/>
  </r>
  <r>
    <x v="3"/>
    <x v="0"/>
    <s v="Financial Analyst"/>
    <s v="Finance"/>
    <d v="2026-01-12T00:00:00"/>
    <d v="2026-01-18T00:00:00"/>
    <d v="2026-01-23T00:00:00"/>
    <d v="2026-01-30T00:00:00"/>
    <x v="2"/>
    <x v="0"/>
    <n v="70000"/>
    <x v="3"/>
  </r>
  <r>
    <x v="4"/>
    <x v="3"/>
    <s v="Data Analyst"/>
    <s v="Analytics"/>
    <d v="2026-01-15T00:00:00"/>
    <d v="2026-01-21T00:00:00"/>
    <m/>
    <m/>
    <x v="1"/>
    <x v="1"/>
    <m/>
    <x v="2"/>
  </r>
  <r>
    <x v="5"/>
    <x v="1"/>
    <s v="HR Analyst"/>
    <s v="Human Resources"/>
    <d v="2026-01-18T00:00:00"/>
    <d v="2026-01-25T00:00:00"/>
    <d v="2026-01-30T00:00:00"/>
    <d v="2026-02-06T00:00:00"/>
    <x v="2"/>
    <x v="0"/>
    <n v="65000"/>
    <x v="4"/>
  </r>
  <r>
    <x v="6"/>
    <x v="2"/>
    <s v="BI Analyst"/>
    <s v="Analytics"/>
    <d v="2026-01-20T00:00:00"/>
    <d v="2026-01-27T00:00:00"/>
    <d v="2026-02-02T00:00:00"/>
    <d v="2026-02-09T00:00:00"/>
    <x v="0"/>
    <x v="0"/>
    <n v="80000"/>
    <x v="1"/>
  </r>
  <r>
    <x v="7"/>
    <x v="3"/>
    <s v="SQL Developer"/>
    <s v="IT"/>
    <d v="2026-01-22T00:00:00"/>
    <d v="2026-01-29T00:00:00"/>
    <m/>
    <m/>
    <x v="3"/>
    <x v="1"/>
    <m/>
    <x v="2"/>
  </r>
  <r>
    <x v="8"/>
    <x v="0"/>
    <s v="Business Analyst"/>
    <s v="Operations"/>
    <d v="2026-01-25T00:00:00"/>
    <d v="2026-02-02T00:00:00"/>
    <d v="2026-02-06T00:00:00"/>
    <d v="2026-02-13T00:00:00"/>
    <x v="1"/>
    <x v="0"/>
    <n v="74000"/>
    <x v="4"/>
  </r>
  <r>
    <x v="9"/>
    <x v="1"/>
    <s v="Data Analyst"/>
    <s v="Analytics"/>
    <d v="2026-01-28T00:00:00"/>
    <d v="2026-02-04T00:00:00"/>
    <m/>
    <m/>
    <x v="2"/>
    <x v="1"/>
    <m/>
    <x v="2"/>
  </r>
  <r>
    <x v="10"/>
    <x v="0"/>
    <s v="Data Analyst"/>
    <s v="Analytics"/>
    <d v="2026-07-14T00:00:00"/>
    <d v="2026-07-19T00:00:00"/>
    <d v="2026-07-23T00:00:00"/>
    <d v="2026-08-02T00:00:00"/>
    <x v="2"/>
    <x v="0"/>
    <n v="82000"/>
    <x v="4"/>
  </r>
  <r>
    <x v="11"/>
    <x v="3"/>
    <s v="Data Analyst"/>
    <s v="Analytics"/>
    <d v="2026-02-23T00:00:00"/>
    <d v="2026-02-28T00:00:00"/>
    <d v="2026-03-08T00:00:00"/>
    <d v="2026-03-17T00:00:00"/>
    <x v="0"/>
    <x v="0"/>
    <n v="65000"/>
    <x v="5"/>
  </r>
  <r>
    <x v="12"/>
    <x v="1"/>
    <s v="HR Analyst"/>
    <s v="Human Resources"/>
    <d v="2026-06-24T00:00:00"/>
    <d v="2026-07-02T00:00:00"/>
    <d v="2026-07-08T00:00:00"/>
    <d v="2026-07-13T00:00:00"/>
    <x v="3"/>
    <x v="0"/>
    <n v="63000"/>
    <x v="4"/>
  </r>
  <r>
    <x v="13"/>
    <x v="3"/>
    <s v="BI Analyst"/>
    <s v="Analytics"/>
    <d v="2026-07-29T00:00:00"/>
    <d v="2026-08-08T00:00:00"/>
    <d v="2026-08-14T00:00:00"/>
    <d v="2026-08-19T00:00:00"/>
    <x v="2"/>
    <x v="0"/>
    <n v="77000"/>
    <x v="6"/>
  </r>
  <r>
    <x v="14"/>
    <x v="0"/>
    <s v="BI Analyst"/>
    <s v="Analytics"/>
    <d v="2026-05-09T00:00:00"/>
    <d v="2026-05-19T00:00:00"/>
    <m/>
    <m/>
    <x v="2"/>
    <x v="1"/>
    <m/>
    <x v="2"/>
  </r>
  <r>
    <x v="15"/>
    <x v="3"/>
    <s v="Financial Analyst"/>
    <s v="Finance"/>
    <d v="2026-02-12T00:00:00"/>
    <d v="2026-02-19T00:00:00"/>
    <m/>
    <m/>
    <x v="0"/>
    <x v="1"/>
    <m/>
    <x v="2"/>
  </r>
  <r>
    <x v="16"/>
    <x v="2"/>
    <s v="Operations Analyst"/>
    <s v="Operations"/>
    <d v="2026-02-21T00:00:00"/>
    <d v="2026-03-02T00:00:00"/>
    <m/>
    <m/>
    <x v="2"/>
    <x v="1"/>
    <m/>
    <x v="2"/>
  </r>
  <r>
    <x v="17"/>
    <x v="0"/>
    <s v="HR Analyst"/>
    <s v="Human Resources"/>
    <d v="2026-02-18T00:00:00"/>
    <d v="2026-02-22T00:00:00"/>
    <m/>
    <m/>
    <x v="1"/>
    <x v="1"/>
    <m/>
    <x v="2"/>
  </r>
  <r>
    <x v="18"/>
    <x v="0"/>
    <s v="SQL Developer"/>
    <s v="IT"/>
    <d v="2026-04-01T00:00:00"/>
    <d v="2026-04-11T00:00:00"/>
    <d v="2026-04-17T00:00:00"/>
    <d v="2026-04-23T00:00:00"/>
    <x v="2"/>
    <x v="0"/>
    <n v="89000"/>
    <x v="5"/>
  </r>
  <r>
    <x v="19"/>
    <x v="1"/>
    <s v="HR Analyst"/>
    <s v="Human Resources"/>
    <d v="2026-05-02T00:00:00"/>
    <d v="2026-05-11T00:00:00"/>
    <m/>
    <m/>
    <x v="2"/>
    <x v="1"/>
    <m/>
    <x v="2"/>
  </r>
  <r>
    <x v="20"/>
    <x v="0"/>
    <s v="Financial Analyst"/>
    <s v="Finance"/>
    <d v="2026-07-16T00:00:00"/>
    <d v="2026-07-21T00:00:00"/>
    <d v="2026-07-26T00:00:00"/>
    <d v="2026-08-03T00:00:00"/>
    <x v="1"/>
    <x v="0"/>
    <n v="77000"/>
    <x v="3"/>
  </r>
  <r>
    <x v="21"/>
    <x v="1"/>
    <s v="HR Analyst"/>
    <s v="Human Resources"/>
    <d v="2026-04-11T00:00:00"/>
    <d v="2026-04-21T00:00:00"/>
    <m/>
    <m/>
    <x v="2"/>
    <x v="1"/>
    <m/>
    <x v="2"/>
  </r>
  <r>
    <x v="22"/>
    <x v="1"/>
    <s v="Operations Analyst"/>
    <s v="Operations"/>
    <d v="2026-02-15T00:00:00"/>
    <d v="2026-02-22T00:00:00"/>
    <m/>
    <m/>
    <x v="0"/>
    <x v="1"/>
    <m/>
    <x v="2"/>
  </r>
  <r>
    <x v="23"/>
    <x v="0"/>
    <s v="Business Analyst"/>
    <s v="Analytics"/>
    <d v="2026-04-10T00:00:00"/>
    <d v="2026-04-17T00:00:00"/>
    <d v="2026-04-24T00:00:00"/>
    <d v="2026-05-04T00:00:00"/>
    <x v="2"/>
    <x v="0"/>
    <n v="82000"/>
    <x v="7"/>
  </r>
  <r>
    <x v="24"/>
    <x v="2"/>
    <s v="Business Analyst"/>
    <s v="Analytics"/>
    <d v="2026-03-09T00:00:00"/>
    <d v="2026-03-17T00:00:00"/>
    <m/>
    <m/>
    <x v="1"/>
    <x v="1"/>
    <m/>
    <x v="2"/>
  </r>
  <r>
    <x v="25"/>
    <x v="3"/>
    <s v="Financial Analyst"/>
    <s v="Finance"/>
    <d v="2026-04-09T00:00:00"/>
    <d v="2026-04-14T00:00:00"/>
    <d v="2026-04-22T00:00:00"/>
    <d v="2026-04-30T00:00:00"/>
    <x v="3"/>
    <x v="0"/>
    <n v="67000"/>
    <x v="6"/>
  </r>
  <r>
    <x v="26"/>
    <x v="0"/>
    <s v="Business Analyst"/>
    <s v="Analytics"/>
    <d v="2026-02-13T00:00:00"/>
    <d v="2026-02-20T00:00:00"/>
    <m/>
    <m/>
    <x v="1"/>
    <x v="1"/>
    <m/>
    <x v="2"/>
  </r>
  <r>
    <x v="27"/>
    <x v="0"/>
    <s v="SQL Developer"/>
    <s v="IT"/>
    <d v="2026-07-03T00:00:00"/>
    <d v="2026-07-10T00:00:00"/>
    <m/>
    <m/>
    <x v="3"/>
    <x v="1"/>
    <m/>
    <x v="2"/>
  </r>
  <r>
    <x v="28"/>
    <x v="2"/>
    <s v="Financial Analyst"/>
    <s v="Finance"/>
    <d v="2026-06-16T00:00:00"/>
    <d v="2026-06-20T00:00:00"/>
    <m/>
    <m/>
    <x v="0"/>
    <x v="1"/>
    <m/>
    <x v="2"/>
  </r>
  <r>
    <x v="29"/>
    <x v="2"/>
    <s v="Operations Analyst"/>
    <s v="Operations"/>
    <d v="2026-07-25T00:00:00"/>
    <d v="2026-08-01T00:00:00"/>
    <d v="2026-08-06T00:00:00"/>
    <d v="2026-08-14T00:00:00"/>
    <x v="2"/>
    <x v="0"/>
    <n v="62000"/>
    <x v="1"/>
  </r>
  <r>
    <x v="30"/>
    <x v="1"/>
    <s v="Financial Analyst"/>
    <s v="Finance"/>
    <d v="2026-04-09T00:00:00"/>
    <d v="2026-04-15T00:00:00"/>
    <m/>
    <m/>
    <x v="0"/>
    <x v="1"/>
    <m/>
    <x v="2"/>
  </r>
  <r>
    <x v="31"/>
    <x v="1"/>
    <s v="Business Analyst"/>
    <s v="Analytics"/>
    <d v="2026-07-14T00:00:00"/>
    <d v="2026-07-22T00:00:00"/>
    <m/>
    <m/>
    <x v="2"/>
    <x v="1"/>
    <m/>
    <x v="2"/>
  </r>
  <r>
    <x v="32"/>
    <x v="0"/>
    <s v="Financial Analyst"/>
    <s v="Finance"/>
    <d v="2026-06-16T00:00:00"/>
    <d v="2026-06-20T00:00:00"/>
    <d v="2026-06-26T00:00:00"/>
    <d v="2026-07-03T00:00:00"/>
    <x v="2"/>
    <x v="0"/>
    <n v="72000"/>
    <x v="0"/>
  </r>
  <r>
    <x v="33"/>
    <x v="1"/>
    <s v="Financial Analyst"/>
    <s v="Finance"/>
    <d v="2026-02-15T00:00:00"/>
    <d v="2026-02-22T00:00:00"/>
    <d v="2026-02-26T00:00:00"/>
    <d v="2026-03-07T00:00:00"/>
    <x v="0"/>
    <x v="0"/>
    <n v="69000"/>
    <x v="1"/>
  </r>
  <r>
    <x v="34"/>
    <x v="3"/>
    <s v="Financial Analyst"/>
    <s v="Finance"/>
    <d v="2026-03-05T00:00:00"/>
    <d v="2026-03-15T00:00:00"/>
    <d v="2026-03-23T00:00:00"/>
    <d v="2026-03-31T00:00:00"/>
    <x v="1"/>
    <x v="0"/>
    <n v="71000"/>
    <x v="8"/>
  </r>
  <r>
    <x v="35"/>
    <x v="1"/>
    <s v="HR Analyst"/>
    <s v="Human Resources"/>
    <d v="2026-06-19T00:00:00"/>
    <d v="2026-06-28T00:00:00"/>
    <d v="2026-07-04T00:00:00"/>
    <d v="2026-07-12T00:00:00"/>
    <x v="2"/>
    <x v="0"/>
    <n v="74000"/>
    <x v="9"/>
  </r>
  <r>
    <x v="36"/>
    <x v="0"/>
    <s v="Business Analyst"/>
    <s v="Analytics"/>
    <d v="2026-05-27T00:00:00"/>
    <d v="2026-05-31T00:00:00"/>
    <d v="2026-06-08T00:00:00"/>
    <d v="2026-06-17T00:00:00"/>
    <x v="1"/>
    <x v="0"/>
    <n v="75000"/>
    <x v="6"/>
  </r>
  <r>
    <x v="37"/>
    <x v="1"/>
    <s v="Data Analyst"/>
    <s v="Analytics"/>
    <d v="2026-07-01T00:00:00"/>
    <d v="2026-07-05T00:00:00"/>
    <m/>
    <m/>
    <x v="0"/>
    <x v="1"/>
    <m/>
    <x v="2"/>
  </r>
  <r>
    <x v="38"/>
    <x v="0"/>
    <s v="Data Analyst"/>
    <s v="Analytics"/>
    <d v="2026-03-31T00:00:00"/>
    <d v="2026-04-05T00:00:00"/>
    <d v="2026-04-11T00:00:00"/>
    <d v="2026-04-21T00:00:00"/>
    <x v="2"/>
    <x v="0"/>
    <n v="80000"/>
    <x v="6"/>
  </r>
  <r>
    <x v="39"/>
    <x v="1"/>
    <s v="HR Analyst"/>
    <s v="Human Resources"/>
    <d v="2026-03-27T00:00:00"/>
    <d v="2026-04-03T00:00:00"/>
    <d v="2026-04-10T00:00:00"/>
    <d v="2026-04-16T00:00:00"/>
    <x v="3"/>
    <x v="0"/>
    <n v="61000"/>
    <x v="1"/>
  </r>
  <r>
    <x v="40"/>
    <x v="3"/>
    <s v="BI Analyst"/>
    <s v="Analytics"/>
    <d v="2026-02-25T00:00:00"/>
    <d v="2026-03-07T00:00:00"/>
    <d v="2026-03-11T00:00:00"/>
    <d v="2026-03-21T00:00:00"/>
    <x v="3"/>
    <x v="0"/>
    <n v="95000"/>
    <x v="7"/>
  </r>
  <r>
    <x v="41"/>
    <x v="0"/>
    <s v="Data Analyst"/>
    <s v="Analytics"/>
    <d v="2026-07-16T00:00:00"/>
    <d v="2026-07-26T00:00:00"/>
    <m/>
    <m/>
    <x v="3"/>
    <x v="1"/>
    <m/>
    <x v="2"/>
  </r>
  <r>
    <x v="42"/>
    <x v="1"/>
    <s v="Business Analyst"/>
    <s v="Analytics"/>
    <d v="2026-02-28T00:00:00"/>
    <d v="2026-03-05T00:00:00"/>
    <d v="2026-03-12T00:00:00"/>
    <d v="2026-03-18T00:00:00"/>
    <x v="1"/>
    <x v="0"/>
    <n v="76000"/>
    <x v="3"/>
  </r>
  <r>
    <x v="43"/>
    <x v="1"/>
    <s v="Operations Analyst"/>
    <s v="Operations"/>
    <d v="2026-05-30T00:00:00"/>
    <d v="2026-06-09T00:00:00"/>
    <d v="2026-06-17T00:00:00"/>
    <d v="2026-06-22T00:00:00"/>
    <x v="0"/>
    <x v="0"/>
    <n v="63000"/>
    <x v="9"/>
  </r>
  <r>
    <x v="44"/>
    <x v="0"/>
    <s v="Data Analyst"/>
    <s v="Analytics"/>
    <d v="2026-07-17T00:00:00"/>
    <d v="2026-07-24T00:00:00"/>
    <d v="2026-07-31T00:00:00"/>
    <d v="2026-08-06T00:00:00"/>
    <x v="1"/>
    <x v="0"/>
    <n v="77000"/>
    <x v="1"/>
  </r>
  <r>
    <x v="45"/>
    <x v="1"/>
    <s v="SQL Developer"/>
    <s v="IT"/>
    <d v="2026-02-16T00:00:00"/>
    <d v="2026-02-22T00:00:00"/>
    <m/>
    <m/>
    <x v="0"/>
    <x v="1"/>
    <m/>
    <x v="2"/>
  </r>
  <r>
    <x v="46"/>
    <x v="2"/>
    <s v="SQL Developer"/>
    <s v="IT"/>
    <d v="2026-05-28T00:00:00"/>
    <d v="2026-06-03T00:00:00"/>
    <d v="2026-06-08T00:00:00"/>
    <d v="2026-06-13T00:00:00"/>
    <x v="3"/>
    <x v="0"/>
    <n v="96000"/>
    <x v="10"/>
  </r>
  <r>
    <x v="47"/>
    <x v="0"/>
    <s v="HR Analyst"/>
    <s v="Human Resources"/>
    <d v="2026-06-19T00:00:00"/>
    <d v="2026-06-27T00:00:00"/>
    <d v="2026-07-04T00:00:00"/>
    <d v="2026-07-13T00:00:00"/>
    <x v="2"/>
    <x v="0"/>
    <n v="74000"/>
    <x v="7"/>
  </r>
  <r>
    <x v="48"/>
    <x v="0"/>
    <s v="Financial Analyst"/>
    <s v="Finance"/>
    <d v="2026-03-13T00:00:00"/>
    <d v="2026-03-17T00:00:00"/>
    <m/>
    <m/>
    <x v="0"/>
    <x v="1"/>
    <m/>
    <x v="2"/>
  </r>
  <r>
    <x v="49"/>
    <x v="0"/>
    <s v="HR Analyst"/>
    <s v="Human Resources"/>
    <d v="2026-07-03T00:00:00"/>
    <d v="2026-07-11T00:00:00"/>
    <d v="2026-07-16T00:00:00"/>
    <d v="2026-07-25T00:00:00"/>
    <x v="1"/>
    <x v="0"/>
    <n v="59000"/>
    <x v="5"/>
  </r>
  <r>
    <x v="50"/>
    <x v="0"/>
    <s v="SQL Developer"/>
    <s v="IT"/>
    <d v="2026-07-09T00:00:00"/>
    <d v="2026-07-14T00:00:00"/>
    <m/>
    <m/>
    <x v="2"/>
    <x v="1"/>
    <m/>
    <x v="2"/>
  </r>
  <r>
    <x v="51"/>
    <x v="2"/>
    <s v="Business Analyst"/>
    <s v="Analytics"/>
    <d v="2026-07-22T00:00:00"/>
    <d v="2026-07-31T00:00:00"/>
    <d v="2026-08-06T00:00:00"/>
    <d v="2026-08-14T00:00:00"/>
    <x v="2"/>
    <x v="0"/>
    <n v="78000"/>
    <x v="9"/>
  </r>
  <r>
    <x v="52"/>
    <x v="0"/>
    <s v="SQL Developer"/>
    <s v="IT"/>
    <d v="2026-02-19T00:00:00"/>
    <d v="2026-02-24T00:00:00"/>
    <d v="2026-03-04T00:00:00"/>
    <d v="2026-03-11T00:00:00"/>
    <x v="0"/>
    <x v="0"/>
    <n v="82000"/>
    <x v="1"/>
  </r>
  <r>
    <x v="53"/>
    <x v="0"/>
    <s v="Business Analyst"/>
    <s v="Analytics"/>
    <d v="2026-05-01T00:00:00"/>
    <d v="2026-05-08T00:00:00"/>
    <d v="2026-05-16T00:00:00"/>
    <d v="2026-05-26T00:00:00"/>
    <x v="2"/>
    <x v="0"/>
    <n v="77000"/>
    <x v="11"/>
  </r>
  <r>
    <x v="54"/>
    <x v="0"/>
    <s v="HR Analyst"/>
    <s v="Human Resources"/>
    <d v="2026-07-07T00:00:00"/>
    <d v="2026-07-11T00:00:00"/>
    <m/>
    <m/>
    <x v="2"/>
    <x v="1"/>
    <m/>
    <x v="2"/>
  </r>
  <r>
    <x v="55"/>
    <x v="2"/>
    <s v="Data Analyst"/>
    <s v="Analytics"/>
    <d v="2026-03-07T00:00:00"/>
    <d v="2026-03-12T00:00:00"/>
    <m/>
    <m/>
    <x v="0"/>
    <x v="1"/>
    <m/>
    <x v="2"/>
  </r>
  <r>
    <x v="56"/>
    <x v="2"/>
    <s v="Financial Analyst"/>
    <s v="Finance"/>
    <d v="2026-04-11T00:00:00"/>
    <d v="2026-04-16T00:00:00"/>
    <m/>
    <m/>
    <x v="1"/>
    <x v="1"/>
    <m/>
    <x v="2"/>
  </r>
  <r>
    <x v="57"/>
    <x v="2"/>
    <s v="Financial Analyst"/>
    <s v="Finance"/>
    <d v="2026-07-26T00:00:00"/>
    <d v="2026-08-05T00:00:00"/>
    <d v="2026-08-09T00:00:00"/>
    <d v="2026-08-14T00:00:00"/>
    <x v="3"/>
    <x v="0"/>
    <n v="85000"/>
    <x v="4"/>
  </r>
  <r>
    <x v="58"/>
    <x v="2"/>
    <s v="Data Analyst"/>
    <s v="Analytics"/>
    <d v="2026-05-20T00:00:00"/>
    <d v="2026-05-25T00:00:00"/>
    <d v="2026-05-31T00:00:00"/>
    <d v="2026-06-06T00:00:00"/>
    <x v="0"/>
    <x v="0"/>
    <n v="79000"/>
    <x v="0"/>
  </r>
  <r>
    <x v="59"/>
    <x v="3"/>
    <s v="Financial Analyst"/>
    <s v="Finance"/>
    <d v="2026-06-22T00:00:00"/>
    <d v="2026-07-01T00:00:00"/>
    <d v="2026-07-06T00:00:00"/>
    <d v="2026-07-15T00:00:00"/>
    <x v="0"/>
    <x v="0"/>
    <n v="66000"/>
    <x v="9"/>
  </r>
  <r>
    <x v="60"/>
    <x v="1"/>
    <s v="SQL Developer"/>
    <s v="IT"/>
    <d v="2026-05-06T00:00:00"/>
    <d v="2026-05-12T00:00:00"/>
    <d v="2026-05-16T00:00:00"/>
    <d v="2026-05-23T00:00:00"/>
    <x v="1"/>
    <x v="0"/>
    <n v="84000"/>
    <x v="0"/>
  </r>
  <r>
    <x v="61"/>
    <x v="1"/>
    <s v="HR Analyst"/>
    <s v="Human Resources"/>
    <d v="2026-07-25T00:00:00"/>
    <d v="2026-08-02T00:00:00"/>
    <d v="2026-08-09T00:00:00"/>
    <d v="2026-08-18T00:00:00"/>
    <x v="0"/>
    <x v="0"/>
    <n v="62000"/>
    <x v="7"/>
  </r>
  <r>
    <x v="62"/>
    <x v="1"/>
    <s v="Operations Analyst"/>
    <s v="Operations"/>
    <d v="2026-04-02T00:00:00"/>
    <d v="2026-04-06T00:00:00"/>
    <m/>
    <m/>
    <x v="1"/>
    <x v="1"/>
    <m/>
    <x v="2"/>
  </r>
  <r>
    <x v="63"/>
    <x v="2"/>
    <s v="Operations Analyst"/>
    <s v="Operations"/>
    <d v="2026-03-18T00:00:00"/>
    <d v="2026-03-28T00:00:00"/>
    <m/>
    <m/>
    <x v="3"/>
    <x v="1"/>
    <m/>
    <x v="2"/>
  </r>
  <r>
    <x v="64"/>
    <x v="2"/>
    <s v="Business Analyst"/>
    <s v="Analytics"/>
    <d v="2026-04-05T00:00:00"/>
    <d v="2026-04-09T00:00:00"/>
    <d v="2026-04-16T00:00:00"/>
    <d v="2026-04-22T00:00:00"/>
    <x v="0"/>
    <x v="0"/>
    <n v="74000"/>
    <x v="0"/>
  </r>
  <r>
    <x v="65"/>
    <x v="2"/>
    <s v="BI Analyst"/>
    <s v="Analytics"/>
    <d v="2026-05-29T00:00:00"/>
    <d v="2026-06-07T00:00:00"/>
    <d v="2026-06-12T00:00:00"/>
    <d v="2026-06-20T00:00:00"/>
    <x v="1"/>
    <x v="0"/>
    <n v="85000"/>
    <x v="5"/>
  </r>
  <r>
    <x v="66"/>
    <x v="0"/>
    <s v="Operations Analyst"/>
    <s v="Operations"/>
    <d v="2026-04-13T00:00:00"/>
    <d v="2026-04-21T00:00:00"/>
    <d v="2026-04-28T00:00:00"/>
    <d v="2026-05-08T00:00:00"/>
    <x v="2"/>
    <x v="0"/>
    <n v="79000"/>
    <x v="11"/>
  </r>
  <r>
    <x v="67"/>
    <x v="0"/>
    <s v="Data Analyst"/>
    <s v="Analytics"/>
    <d v="2026-04-26T00:00:00"/>
    <d v="2026-05-02T00:00:00"/>
    <d v="2026-05-06T00:00:00"/>
    <d v="2026-05-11T00:00:00"/>
    <x v="2"/>
    <x v="0"/>
    <n v="84000"/>
    <x v="12"/>
  </r>
  <r>
    <x v="68"/>
    <x v="2"/>
    <s v="HR Analyst"/>
    <s v="Human Resources"/>
    <d v="2026-05-23T00:00:00"/>
    <d v="2026-05-31T00:00:00"/>
    <d v="2026-06-04T00:00:00"/>
    <d v="2026-06-12T00:00:00"/>
    <x v="2"/>
    <x v="0"/>
    <n v="64000"/>
    <x v="1"/>
  </r>
  <r>
    <x v="69"/>
    <x v="0"/>
    <s v="HR Analyst"/>
    <s v="Human Resources"/>
    <d v="2026-04-07T00:00:00"/>
    <d v="2026-04-17T00:00:00"/>
    <d v="2026-04-25T00:00:00"/>
    <d v="2026-05-05T00:00:00"/>
    <x v="3"/>
    <x v="0"/>
    <n v="64000"/>
    <x v="13"/>
  </r>
  <r>
    <x v="70"/>
    <x v="3"/>
    <s v="Data Analyst"/>
    <s v="Analytics"/>
    <d v="2026-05-05T00:00:00"/>
    <d v="2026-05-14T00:00:00"/>
    <m/>
    <m/>
    <x v="2"/>
    <x v="1"/>
    <m/>
    <x v="2"/>
  </r>
  <r>
    <x v="71"/>
    <x v="2"/>
    <s v="Financial Analyst"/>
    <s v="Finance"/>
    <d v="2026-03-04T00:00:00"/>
    <d v="2026-03-10T00:00:00"/>
    <m/>
    <m/>
    <x v="2"/>
    <x v="1"/>
    <m/>
    <x v="2"/>
  </r>
  <r>
    <x v="72"/>
    <x v="2"/>
    <s v="Financial Analyst"/>
    <s v="Finance"/>
    <d v="2026-05-15T00:00:00"/>
    <d v="2026-05-24T00:00:00"/>
    <d v="2026-05-31T00:00:00"/>
    <d v="2026-06-10T00:00:00"/>
    <x v="1"/>
    <x v="0"/>
    <n v="70000"/>
    <x v="8"/>
  </r>
  <r>
    <x v="73"/>
    <x v="2"/>
    <s v="SQL Developer"/>
    <s v="IT"/>
    <d v="2026-07-08T00:00:00"/>
    <d v="2026-07-13T00:00:00"/>
    <d v="2026-07-20T00:00:00"/>
    <d v="2026-07-29T00:00:00"/>
    <x v="0"/>
    <x v="0"/>
    <n v="97000"/>
    <x v="6"/>
  </r>
  <r>
    <x v="74"/>
    <x v="2"/>
    <s v="SQL Developer"/>
    <s v="IT"/>
    <d v="2026-07-18T00:00:00"/>
    <d v="2026-07-23T00:00:00"/>
    <d v="2026-07-31T00:00:00"/>
    <d v="2026-08-08T00:00:00"/>
    <x v="3"/>
    <x v="0"/>
    <n v="83000"/>
    <x v="6"/>
  </r>
  <r>
    <x v="75"/>
    <x v="0"/>
    <s v="BI Analyst"/>
    <s v="Analytics"/>
    <d v="2026-07-19T00:00:00"/>
    <d v="2026-07-29T00:00:00"/>
    <d v="2026-08-03T00:00:00"/>
    <d v="2026-08-13T00:00:00"/>
    <x v="2"/>
    <x v="0"/>
    <n v="84000"/>
    <x v="11"/>
  </r>
  <r>
    <x v="76"/>
    <x v="1"/>
    <s v="Business Analyst"/>
    <s v="Analytics"/>
    <d v="2026-03-30T00:00:00"/>
    <d v="2026-04-06T00:00:00"/>
    <d v="2026-04-14T00:00:00"/>
    <d v="2026-04-19T00:00:00"/>
    <x v="0"/>
    <x v="0"/>
    <n v="82000"/>
    <x v="1"/>
  </r>
  <r>
    <x v="77"/>
    <x v="1"/>
    <s v="HR Analyst"/>
    <s v="Human Resources"/>
    <d v="2026-05-18T00:00:00"/>
    <d v="2026-05-23T00:00:00"/>
    <d v="2026-05-28T00:00:00"/>
    <d v="2026-06-07T00:00:00"/>
    <x v="3"/>
    <x v="0"/>
    <n v="58000"/>
    <x v="1"/>
  </r>
  <r>
    <x v="78"/>
    <x v="3"/>
    <s v="Business Analyst"/>
    <s v="Analytics"/>
    <d v="2026-02-28T00:00:00"/>
    <d v="2026-03-09T00:00:00"/>
    <m/>
    <m/>
    <x v="1"/>
    <x v="1"/>
    <m/>
    <x v="2"/>
  </r>
  <r>
    <x v="79"/>
    <x v="3"/>
    <s v="Data Analyst"/>
    <s v="Analytics"/>
    <d v="2026-06-13T00:00:00"/>
    <d v="2026-06-17T00:00:00"/>
    <m/>
    <m/>
    <x v="1"/>
    <x v="1"/>
    <m/>
    <x v="2"/>
  </r>
  <r>
    <x v="80"/>
    <x v="1"/>
    <s v="Operations Analyst"/>
    <s v="Operations"/>
    <d v="2026-05-28T00:00:00"/>
    <d v="2026-06-05T00:00:00"/>
    <m/>
    <m/>
    <x v="3"/>
    <x v="1"/>
    <m/>
    <x v="2"/>
  </r>
  <r>
    <x v="81"/>
    <x v="2"/>
    <s v="Operations Analyst"/>
    <s v="Operations"/>
    <d v="2026-07-03T00:00:00"/>
    <d v="2026-07-12T00:00:00"/>
    <m/>
    <m/>
    <x v="3"/>
    <x v="1"/>
    <m/>
    <x v="2"/>
  </r>
  <r>
    <x v="82"/>
    <x v="3"/>
    <s v="Operations Analyst"/>
    <s v="Operations"/>
    <d v="2026-06-10T00:00:00"/>
    <d v="2026-06-19T00:00:00"/>
    <m/>
    <m/>
    <x v="3"/>
    <x v="1"/>
    <m/>
    <x v="2"/>
  </r>
  <r>
    <x v="83"/>
    <x v="3"/>
    <s v="BI Analyst"/>
    <s v="Analytics"/>
    <d v="2026-06-02T00:00:00"/>
    <d v="2026-06-08T00:00:00"/>
    <m/>
    <m/>
    <x v="1"/>
    <x v="1"/>
    <m/>
    <x v="2"/>
  </r>
  <r>
    <x v="84"/>
    <x v="3"/>
    <s v="HR Analyst"/>
    <s v="Human Resources"/>
    <d v="2026-06-14T00:00:00"/>
    <d v="2026-06-18T00:00:00"/>
    <d v="2026-06-24T00:00:00"/>
    <d v="2026-06-30T00:00:00"/>
    <x v="1"/>
    <x v="0"/>
    <n v="66000"/>
    <x v="10"/>
  </r>
  <r>
    <x v="85"/>
    <x v="2"/>
    <s v="Financial Analyst"/>
    <s v="Finance"/>
    <d v="2026-04-27T00:00:00"/>
    <d v="2026-05-02T00:00:00"/>
    <d v="2026-05-09T00:00:00"/>
    <d v="2026-05-19T00:00:00"/>
    <x v="0"/>
    <x v="0"/>
    <n v="69000"/>
    <x v="5"/>
  </r>
  <r>
    <x v="86"/>
    <x v="1"/>
    <s v="Data Analyst"/>
    <s v="Analytics"/>
    <d v="2026-07-31T00:00:00"/>
    <d v="2026-08-08T00:00:00"/>
    <d v="2026-08-15T00:00:00"/>
    <d v="2026-08-23T00:00:00"/>
    <x v="3"/>
    <x v="0"/>
    <n v="66000"/>
    <x v="9"/>
  </r>
  <r>
    <x v="87"/>
    <x v="3"/>
    <s v="SQL Developer"/>
    <s v="IT"/>
    <d v="2026-03-25T00:00:00"/>
    <d v="2026-04-04T00:00:00"/>
    <m/>
    <m/>
    <x v="0"/>
    <x v="1"/>
    <m/>
    <x v="2"/>
  </r>
  <r>
    <x v="88"/>
    <x v="3"/>
    <s v="SQL Developer"/>
    <s v="IT"/>
    <d v="2026-06-28T00:00:00"/>
    <d v="2026-07-04T00:00:00"/>
    <m/>
    <m/>
    <x v="0"/>
    <x v="1"/>
    <m/>
    <x v="2"/>
  </r>
  <r>
    <x v="89"/>
    <x v="3"/>
    <s v="Financial Analyst"/>
    <s v="Finance"/>
    <d v="2026-05-11T00:00:00"/>
    <d v="2026-05-17T00:00:00"/>
    <d v="2026-05-24T00:00:00"/>
    <d v="2026-06-01T00:00:00"/>
    <x v="1"/>
    <x v="0"/>
    <n v="65000"/>
    <x v="6"/>
  </r>
  <r>
    <x v="90"/>
    <x v="2"/>
    <s v="HR Analyst"/>
    <s v="Human Resources"/>
    <d v="2026-05-11T00:00:00"/>
    <d v="2026-05-21T00:00:00"/>
    <m/>
    <m/>
    <x v="3"/>
    <x v="1"/>
    <m/>
    <x v="2"/>
  </r>
  <r>
    <x v="91"/>
    <x v="1"/>
    <s v="Financial Analyst"/>
    <s v="Finance"/>
    <d v="2026-05-31T00:00:00"/>
    <d v="2026-06-08T00:00:00"/>
    <m/>
    <m/>
    <x v="0"/>
    <x v="1"/>
    <m/>
    <x v="2"/>
  </r>
  <r>
    <x v="92"/>
    <x v="0"/>
    <s v="Data Analyst"/>
    <s v="Analytics"/>
    <d v="2026-06-25T00:00:00"/>
    <d v="2026-07-02T00:00:00"/>
    <d v="2026-07-07T00:00:00"/>
    <d v="2026-07-12T00:00:00"/>
    <x v="3"/>
    <x v="0"/>
    <n v="73000"/>
    <x v="0"/>
  </r>
  <r>
    <x v="93"/>
    <x v="2"/>
    <s v="Business Analyst"/>
    <s v="Analytics"/>
    <d v="2026-05-09T00:00:00"/>
    <d v="2026-05-19T00:00:00"/>
    <d v="2026-05-26T00:00:00"/>
    <d v="2026-06-02T00:00:00"/>
    <x v="3"/>
    <x v="0"/>
    <n v="81000"/>
    <x v="7"/>
  </r>
  <r>
    <x v="94"/>
    <x v="0"/>
    <s v="SQL Developer"/>
    <s v="IT"/>
    <d v="2026-04-06T00:00:00"/>
    <d v="2026-04-10T00:00:00"/>
    <m/>
    <m/>
    <x v="0"/>
    <x v="1"/>
    <m/>
    <x v="2"/>
  </r>
  <r>
    <x v="95"/>
    <x v="1"/>
    <s v="HR Analyst"/>
    <s v="Human Resources"/>
    <d v="2026-05-01T00:00:00"/>
    <d v="2026-05-10T00:00:00"/>
    <m/>
    <m/>
    <x v="0"/>
    <x v="1"/>
    <m/>
    <x v="2"/>
  </r>
  <r>
    <x v="96"/>
    <x v="0"/>
    <s v="Business Analyst"/>
    <s v="Analytics"/>
    <d v="2026-02-11T00:00:00"/>
    <d v="2026-02-19T00:00:00"/>
    <m/>
    <m/>
    <x v="1"/>
    <x v="1"/>
    <m/>
    <x v="2"/>
  </r>
  <r>
    <x v="97"/>
    <x v="1"/>
    <s v="Business Analyst"/>
    <s v="Analytics"/>
    <d v="2026-03-12T00:00:00"/>
    <d v="2026-03-20T00:00:00"/>
    <m/>
    <m/>
    <x v="3"/>
    <x v="1"/>
    <m/>
    <x v="2"/>
  </r>
  <r>
    <x v="98"/>
    <x v="3"/>
    <s v="HR Analyst"/>
    <s v="Human Resources"/>
    <d v="2026-03-28T00:00:00"/>
    <d v="2026-04-02T00:00:00"/>
    <m/>
    <m/>
    <x v="2"/>
    <x v="1"/>
    <m/>
    <x v="2"/>
  </r>
  <r>
    <x v="99"/>
    <x v="0"/>
    <s v="Operations Analyst"/>
    <s v="Operations"/>
    <d v="2026-07-06T00:00:00"/>
    <d v="2026-07-10T00:00:00"/>
    <m/>
    <m/>
    <x v="1"/>
    <x v="1"/>
    <m/>
    <x v="2"/>
  </r>
  <r>
    <x v="100"/>
    <x v="0"/>
    <s v="BI Analyst"/>
    <s v="Analytics"/>
    <d v="2026-06-29T00:00:00"/>
    <d v="2026-07-08T00:00:00"/>
    <d v="2026-07-13T00:00:00"/>
    <d v="2026-07-18T00:00:00"/>
    <x v="3"/>
    <x v="0"/>
    <n v="93000"/>
    <x v="4"/>
  </r>
  <r>
    <x v="101"/>
    <x v="1"/>
    <s v="Data Analyst"/>
    <s v="Analytics"/>
    <d v="2026-07-27T00:00:00"/>
    <d v="2026-08-04T00:00:00"/>
    <m/>
    <m/>
    <x v="2"/>
    <x v="1"/>
    <m/>
    <x v="2"/>
  </r>
  <r>
    <x v="102"/>
    <x v="0"/>
    <s v="BI Analyst"/>
    <s v="Analytics"/>
    <d v="2026-03-03T00:00:00"/>
    <d v="2026-03-07T00:00:00"/>
    <m/>
    <m/>
    <x v="3"/>
    <x v="1"/>
    <m/>
    <x v="2"/>
  </r>
  <r>
    <x v="103"/>
    <x v="2"/>
    <s v="Data Analyst"/>
    <s v="Analytics"/>
    <d v="2026-06-10T00:00:00"/>
    <d v="2026-06-14T00:00:00"/>
    <m/>
    <m/>
    <x v="3"/>
    <x v="1"/>
    <m/>
    <x v="2"/>
  </r>
  <r>
    <x v="104"/>
    <x v="2"/>
    <s v="HR Analyst"/>
    <s v="Human Resources"/>
    <d v="2026-05-22T00:00:00"/>
    <d v="2026-05-29T00:00:00"/>
    <m/>
    <m/>
    <x v="3"/>
    <x v="1"/>
    <m/>
    <x v="2"/>
  </r>
  <r>
    <x v="105"/>
    <x v="2"/>
    <s v="Financial Analyst"/>
    <s v="Finance"/>
    <d v="2026-03-18T00:00:00"/>
    <d v="2026-03-28T00:00:00"/>
    <d v="2026-04-05T00:00:00"/>
    <d v="2026-04-12T00:00:00"/>
    <x v="3"/>
    <x v="0"/>
    <n v="75000"/>
    <x v="11"/>
  </r>
  <r>
    <x v="106"/>
    <x v="0"/>
    <s v="BI Analyst"/>
    <s v="Analytics"/>
    <d v="2026-04-04T00:00:00"/>
    <d v="2026-04-11T00:00:00"/>
    <d v="2026-04-19T00:00:00"/>
    <d v="2026-04-28T00:00:00"/>
    <x v="3"/>
    <x v="0"/>
    <n v="87000"/>
    <x v="7"/>
  </r>
  <r>
    <x v="107"/>
    <x v="0"/>
    <s v="SQL Developer"/>
    <s v="IT"/>
    <d v="2026-04-28T00:00:00"/>
    <d v="2026-05-03T00:00:00"/>
    <d v="2026-05-09T00:00:00"/>
    <d v="2026-05-16T00:00:00"/>
    <x v="2"/>
    <x v="0"/>
    <n v="88000"/>
    <x v="3"/>
  </r>
  <r>
    <x v="108"/>
    <x v="2"/>
    <s v="Financial Analyst"/>
    <s v="Finance"/>
    <d v="2026-04-13T00:00:00"/>
    <d v="2026-04-18T00:00:00"/>
    <d v="2026-04-22T00:00:00"/>
    <d v="2026-04-28T00:00:00"/>
    <x v="0"/>
    <x v="0"/>
    <n v="78000"/>
    <x v="12"/>
  </r>
  <r>
    <x v="109"/>
    <x v="1"/>
    <s v="HR Analyst"/>
    <s v="Human Resources"/>
    <d v="2026-06-06T00:00:00"/>
    <d v="2026-06-13T00:00:00"/>
    <m/>
    <m/>
    <x v="3"/>
    <x v="1"/>
    <m/>
    <x v="2"/>
  </r>
  <r>
    <x v="110"/>
    <x v="0"/>
    <s v="Data Analyst"/>
    <s v="Analytics"/>
    <d v="2026-05-26T00:00:00"/>
    <d v="2026-06-04T00:00:00"/>
    <d v="2026-06-09T00:00:00"/>
    <d v="2026-06-16T00:00:00"/>
    <x v="2"/>
    <x v="0"/>
    <n v="83000"/>
    <x v="6"/>
  </r>
  <r>
    <x v="111"/>
    <x v="3"/>
    <s v="Financial Analyst"/>
    <s v="Finance"/>
    <d v="2026-05-06T00:00:00"/>
    <d v="2026-05-15T00:00:00"/>
    <d v="2026-05-23T00:00:00"/>
    <d v="2026-05-30T00:00:00"/>
    <x v="2"/>
    <x v="0"/>
    <n v="76000"/>
    <x v="7"/>
  </r>
  <r>
    <x v="112"/>
    <x v="3"/>
    <s v="BI Analyst"/>
    <s v="Analytics"/>
    <d v="2026-07-30T00:00:00"/>
    <d v="2026-08-03T00:00:00"/>
    <d v="2026-08-08T00:00:00"/>
    <d v="2026-08-15T00:00:00"/>
    <x v="2"/>
    <x v="0"/>
    <n v="78000"/>
    <x v="10"/>
  </r>
  <r>
    <x v="113"/>
    <x v="1"/>
    <s v="Business Analyst"/>
    <s v="Analytics"/>
    <d v="2026-06-18T00:00:00"/>
    <d v="2026-06-24T00:00:00"/>
    <m/>
    <m/>
    <x v="1"/>
    <x v="1"/>
    <m/>
    <x v="2"/>
  </r>
  <r>
    <x v="114"/>
    <x v="2"/>
    <s v="Data Analyst"/>
    <s v="Analytics"/>
    <d v="2026-07-01T00:00:00"/>
    <d v="2026-07-07T00:00:00"/>
    <d v="2026-07-12T00:00:00"/>
    <d v="2026-07-19T00:00:00"/>
    <x v="1"/>
    <x v="0"/>
    <n v="65000"/>
    <x v="3"/>
  </r>
  <r>
    <x v="115"/>
    <x v="1"/>
    <s v="BI Analyst"/>
    <s v="Analytics"/>
    <d v="2026-06-17T00:00:00"/>
    <d v="2026-06-25T00:00:00"/>
    <m/>
    <m/>
    <x v="0"/>
    <x v="1"/>
    <m/>
    <x v="2"/>
  </r>
  <r>
    <x v="116"/>
    <x v="1"/>
    <s v="HR Analyst"/>
    <s v="Human Resources"/>
    <d v="2026-04-16T00:00:00"/>
    <d v="2026-04-20T00:00:00"/>
    <d v="2026-04-28T00:00:00"/>
    <d v="2026-05-05T00:00:00"/>
    <x v="3"/>
    <x v="0"/>
    <n v="73000"/>
    <x v="4"/>
  </r>
  <r>
    <x v="117"/>
    <x v="3"/>
    <s v="BI Analyst"/>
    <s v="Analytics"/>
    <d v="2026-06-03T00:00:00"/>
    <d v="2026-06-09T00:00:00"/>
    <m/>
    <m/>
    <x v="1"/>
    <x v="1"/>
    <m/>
    <x v="2"/>
  </r>
  <r>
    <x v="118"/>
    <x v="0"/>
    <s v="Operations Analyst"/>
    <s v="Operations"/>
    <d v="2026-06-03T00:00:00"/>
    <d v="2026-06-07T00:00:00"/>
    <d v="2026-06-15T00:00:00"/>
    <d v="2026-06-25T00:00:00"/>
    <x v="0"/>
    <x v="0"/>
    <n v="63000"/>
    <x v="5"/>
  </r>
  <r>
    <x v="119"/>
    <x v="1"/>
    <s v="Operations Analyst"/>
    <s v="Operations"/>
    <d v="2026-03-11T00:00:00"/>
    <d v="2026-03-16T00:00:00"/>
    <d v="2026-03-20T00:00:00"/>
    <d v="2026-03-29T00:00:00"/>
    <x v="2"/>
    <x v="0"/>
    <n v="75000"/>
    <x v="3"/>
  </r>
  <r>
    <x v="120"/>
    <x v="1"/>
    <s v="Operations Analyst"/>
    <s v="Operations"/>
    <d v="2026-07-06T00:00:00"/>
    <d v="2026-07-13T00:00:00"/>
    <d v="2026-07-19T00:00:00"/>
    <d v="2026-07-28T00:00:00"/>
    <x v="3"/>
    <x v="0"/>
    <n v="75000"/>
    <x v="5"/>
  </r>
  <r>
    <x v="121"/>
    <x v="0"/>
    <s v="Financial Analyst"/>
    <s v="Finance"/>
    <d v="2026-04-20T00:00:00"/>
    <d v="2026-04-25T00:00:00"/>
    <m/>
    <m/>
    <x v="0"/>
    <x v="1"/>
    <m/>
    <x v="2"/>
  </r>
  <r>
    <x v="122"/>
    <x v="1"/>
    <s v="BI Analyst"/>
    <s v="Analytics"/>
    <d v="2026-07-11T00:00:00"/>
    <d v="2026-07-16T00:00:00"/>
    <d v="2026-07-24T00:00:00"/>
    <d v="2026-07-29T00:00:00"/>
    <x v="0"/>
    <x v="0"/>
    <n v="80000"/>
    <x v="3"/>
  </r>
  <r>
    <x v="123"/>
    <x v="3"/>
    <s v="SQL Developer"/>
    <s v="IT"/>
    <d v="2026-02-01T00:00:00"/>
    <d v="2026-02-06T00:00:00"/>
    <d v="2026-02-12T00:00:00"/>
    <d v="2026-02-22T00:00:00"/>
    <x v="3"/>
    <x v="0"/>
    <n v="87000"/>
    <x v="6"/>
  </r>
  <r>
    <x v="124"/>
    <x v="3"/>
    <s v="Data Analyst"/>
    <s v="Analytics"/>
    <d v="2026-07-30T00:00:00"/>
    <d v="2026-08-09T00:00:00"/>
    <m/>
    <m/>
    <x v="1"/>
    <x v="1"/>
    <m/>
    <x v="2"/>
  </r>
  <r>
    <x v="125"/>
    <x v="1"/>
    <s v="SQL Developer"/>
    <s v="IT"/>
    <d v="2026-07-11T00:00:00"/>
    <d v="2026-07-20T00:00:00"/>
    <d v="2026-07-25T00:00:00"/>
    <d v="2026-08-01T00:00:00"/>
    <x v="0"/>
    <x v="0"/>
    <n v="82000"/>
    <x v="6"/>
  </r>
  <r>
    <x v="126"/>
    <x v="0"/>
    <s v="Business Analyst"/>
    <s v="Analytics"/>
    <d v="2026-02-19T00:00:00"/>
    <d v="2026-03-01T00:00:00"/>
    <m/>
    <m/>
    <x v="2"/>
    <x v="1"/>
    <m/>
    <x v="2"/>
  </r>
  <r>
    <x v="127"/>
    <x v="2"/>
    <s v="SQL Developer"/>
    <s v="IT"/>
    <d v="2026-06-26T00:00:00"/>
    <d v="2026-07-02T00:00:00"/>
    <d v="2026-07-09T00:00:00"/>
    <d v="2026-07-16T00:00:00"/>
    <x v="0"/>
    <x v="0"/>
    <n v="94000"/>
    <x v="1"/>
  </r>
  <r>
    <x v="128"/>
    <x v="3"/>
    <s v="SQL Developer"/>
    <s v="IT"/>
    <d v="2026-06-19T00:00:00"/>
    <d v="2026-06-26T00:00:00"/>
    <m/>
    <m/>
    <x v="0"/>
    <x v="1"/>
    <m/>
    <x v="2"/>
  </r>
  <r>
    <x v="129"/>
    <x v="2"/>
    <s v="Data Analyst"/>
    <s v="Analytics"/>
    <d v="2026-04-24T00:00:00"/>
    <d v="2026-05-03T00:00:00"/>
    <d v="2026-05-11T00:00:00"/>
    <d v="2026-05-20T00:00:00"/>
    <x v="0"/>
    <x v="0"/>
    <n v="65000"/>
    <x v="8"/>
  </r>
  <r>
    <x v="130"/>
    <x v="2"/>
    <s v="Financial Analyst"/>
    <s v="Finance"/>
    <d v="2026-07-23T00:00:00"/>
    <d v="2026-07-28T00:00:00"/>
    <m/>
    <m/>
    <x v="0"/>
    <x v="1"/>
    <m/>
    <x v="2"/>
  </r>
  <r>
    <x v="131"/>
    <x v="3"/>
    <s v="BI Analyst"/>
    <s v="Analytics"/>
    <d v="2026-06-01T00:00:00"/>
    <d v="2026-06-08T00:00:00"/>
    <m/>
    <m/>
    <x v="1"/>
    <x v="1"/>
    <m/>
    <x v="2"/>
  </r>
  <r>
    <x v="132"/>
    <x v="3"/>
    <s v="Data Analyst"/>
    <s v="Analytics"/>
    <d v="2026-07-13T00:00:00"/>
    <d v="2026-07-19T00:00:00"/>
    <d v="2026-07-25T00:00:00"/>
    <d v="2026-08-04T00:00:00"/>
    <x v="3"/>
    <x v="0"/>
    <n v="68000"/>
    <x v="5"/>
  </r>
  <r>
    <x v="133"/>
    <x v="2"/>
    <s v="SQL Developer"/>
    <s v="IT"/>
    <d v="2026-03-14T00:00:00"/>
    <d v="2026-03-21T00:00:00"/>
    <d v="2026-03-29T00:00:00"/>
    <d v="2026-04-03T00:00:00"/>
    <x v="3"/>
    <x v="0"/>
    <n v="92000"/>
    <x v="1"/>
  </r>
  <r>
    <x v="134"/>
    <x v="2"/>
    <s v="BI Analyst"/>
    <s v="Analytics"/>
    <d v="2026-02-23T00:00:00"/>
    <d v="2026-03-05T00:00:00"/>
    <d v="2026-03-12T00:00:00"/>
    <d v="2026-03-21T00:00:00"/>
    <x v="2"/>
    <x v="0"/>
    <n v="75000"/>
    <x v="8"/>
  </r>
  <r>
    <x v="135"/>
    <x v="3"/>
    <s v="SQL Developer"/>
    <s v="IT"/>
    <d v="2026-07-19T00:00:00"/>
    <d v="2026-07-25T00:00:00"/>
    <d v="2026-08-02T00:00:00"/>
    <d v="2026-08-10T00:00:00"/>
    <x v="0"/>
    <x v="0"/>
    <n v="98000"/>
    <x v="5"/>
  </r>
  <r>
    <x v="136"/>
    <x v="0"/>
    <s v="Business Analyst"/>
    <s v="Analytics"/>
    <d v="2026-05-25T00:00:00"/>
    <d v="2026-05-31T00:00:00"/>
    <d v="2026-06-07T00:00:00"/>
    <d v="2026-06-17T00:00:00"/>
    <x v="2"/>
    <x v="0"/>
    <n v="83000"/>
    <x v="9"/>
  </r>
  <r>
    <x v="137"/>
    <x v="0"/>
    <s v="HR Analyst"/>
    <s v="Human Resources"/>
    <d v="2026-03-04T00:00:00"/>
    <d v="2026-03-10T00:00:00"/>
    <m/>
    <m/>
    <x v="1"/>
    <x v="1"/>
    <m/>
    <x v="2"/>
  </r>
  <r>
    <x v="138"/>
    <x v="0"/>
    <s v="Financial Analyst"/>
    <s v="Finance"/>
    <d v="2026-06-22T00:00:00"/>
    <d v="2026-07-02T00:00:00"/>
    <d v="2026-07-06T00:00:00"/>
    <d v="2026-07-14T00:00:00"/>
    <x v="3"/>
    <x v="0"/>
    <n v="68000"/>
    <x v="5"/>
  </r>
  <r>
    <x v="139"/>
    <x v="1"/>
    <s v="SQL Developer"/>
    <s v="IT"/>
    <d v="2026-07-16T00:00:00"/>
    <d v="2026-07-22T00:00:00"/>
    <d v="2026-07-29T00:00:00"/>
    <d v="2026-08-06T00:00:00"/>
    <x v="2"/>
    <x v="0"/>
    <n v="93000"/>
    <x v="6"/>
  </r>
  <r>
    <x v="140"/>
    <x v="3"/>
    <s v="Financial Analyst"/>
    <s v="Finance"/>
    <d v="2026-04-04T00:00:00"/>
    <d v="2026-04-12T00:00:00"/>
    <d v="2026-04-20T00:00:00"/>
    <d v="2026-04-30T00:00:00"/>
    <x v="1"/>
    <x v="0"/>
    <n v="69000"/>
    <x v="8"/>
  </r>
  <r>
    <x v="141"/>
    <x v="2"/>
    <s v="Operations Analyst"/>
    <s v="Operations"/>
    <d v="2026-02-18T00:00:00"/>
    <d v="2026-02-28T00:00:00"/>
    <d v="2026-03-08T00:00:00"/>
    <d v="2026-03-15T00:00:00"/>
    <x v="3"/>
    <x v="0"/>
    <n v="62000"/>
    <x v="11"/>
  </r>
  <r>
    <x v="142"/>
    <x v="2"/>
    <s v="Operations Analyst"/>
    <s v="Operations"/>
    <d v="2026-04-14T00:00:00"/>
    <d v="2026-04-21T00:00:00"/>
    <m/>
    <m/>
    <x v="3"/>
    <x v="1"/>
    <m/>
    <x v="2"/>
  </r>
  <r>
    <x v="143"/>
    <x v="3"/>
    <s v="BI Analyst"/>
    <s v="Analytics"/>
    <d v="2026-06-18T00:00:00"/>
    <d v="2026-06-26T00:00:00"/>
    <m/>
    <m/>
    <x v="2"/>
    <x v="1"/>
    <m/>
    <x v="2"/>
  </r>
  <r>
    <x v="144"/>
    <x v="3"/>
    <s v="BI Analyst"/>
    <s v="Analytics"/>
    <d v="2026-05-08T00:00:00"/>
    <d v="2026-05-13T00:00:00"/>
    <m/>
    <m/>
    <x v="1"/>
    <x v="1"/>
    <m/>
    <x v="2"/>
  </r>
  <r>
    <x v="145"/>
    <x v="3"/>
    <s v="Business Analyst"/>
    <s v="Analytics"/>
    <d v="2026-06-27T00:00:00"/>
    <d v="2026-07-06T00:00:00"/>
    <d v="2026-07-13T00:00:00"/>
    <d v="2026-07-23T00:00:00"/>
    <x v="3"/>
    <x v="0"/>
    <n v="80000"/>
    <x v="8"/>
  </r>
  <r>
    <x v="146"/>
    <x v="1"/>
    <s v="SQL Developer"/>
    <s v="IT"/>
    <d v="2026-05-10T00:00:00"/>
    <d v="2026-05-18T00:00:00"/>
    <d v="2026-05-24T00:00:00"/>
    <d v="2026-05-29T00:00:00"/>
    <x v="0"/>
    <x v="0"/>
    <n v="92000"/>
    <x v="4"/>
  </r>
  <r>
    <x v="147"/>
    <x v="3"/>
    <s v="Data Analyst"/>
    <s v="Analytics"/>
    <d v="2026-02-26T00:00:00"/>
    <d v="2026-03-07T00:00:00"/>
    <d v="2026-03-12T00:00:00"/>
    <d v="2026-03-17T00:00:00"/>
    <x v="1"/>
    <x v="0"/>
    <n v="80000"/>
    <x v="4"/>
  </r>
  <r>
    <x v="148"/>
    <x v="2"/>
    <s v="Financial Analyst"/>
    <s v="Finance"/>
    <d v="2026-04-09T00:00:00"/>
    <d v="2026-04-19T00:00:00"/>
    <m/>
    <m/>
    <x v="3"/>
    <x v="1"/>
    <m/>
    <x v="2"/>
  </r>
  <r>
    <x v="149"/>
    <x v="3"/>
    <s v="BI Analyst"/>
    <s v="Analytics"/>
    <d v="2026-04-26T00:00:00"/>
    <d v="2026-04-30T00:00:00"/>
    <m/>
    <m/>
    <x v="3"/>
    <x v="1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9" firstHeaderRow="1" firstDataRow="2" firstDataCol="1"/>
  <pivotFields count="12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73" showAll="0"/>
    <pivotField numFmtId="173"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15">
        <item x="12"/>
        <item x="10"/>
        <item x="0"/>
        <item x="3"/>
        <item x="4"/>
        <item x="1"/>
        <item x="6"/>
        <item x="5"/>
        <item x="9"/>
        <item x="7"/>
        <item x="11"/>
        <item x="8"/>
        <item x="13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andidate_ID" fld="0" subtotal="count" baseField="0" baseItem="0"/>
  </dataFields>
  <chartFormats count="2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 rowPageCount="1" colPageCount="1"/>
  <pivotFields count="12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numFmtId="173" showAll="0"/>
    <pivotField numFmtId="173"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item="0" hier="-1"/>
  </pageFields>
  <dataFields count="1">
    <dataField name="Count of Candidate_ID" fld="0" subtotal="count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 rowPageCount="1" colPageCount="1"/>
  <pivotFields count="12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numFmtId="173" showAll="0"/>
    <pivotField numFmtId="173"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>
      <items count="15">
        <item x="12"/>
        <item x="10"/>
        <item x="0"/>
        <item x="3"/>
        <item x="4"/>
        <item x="1"/>
        <item x="6"/>
        <item x="5"/>
        <item x="9"/>
        <item x="7"/>
        <item x="11"/>
        <item x="8"/>
        <item x="13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9" item="0" hier="-1"/>
  </pageFields>
  <dataFields count="1">
    <dataField name="Average of Days_to_Hire" fld="11" subtotal="average" baseField="8" baseItem="1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12">
    <pivotField dataField="1" showAll="0"/>
    <pivotField showAll="0"/>
    <pivotField showAll="0"/>
    <pivotField showAll="0"/>
    <pivotField numFmtId="173" showAll="0"/>
    <pivotField numFmtId="173"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andidat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51" totalsRowShown="0">
  <autoFilter ref="A1:L151"/>
  <tableColumns count="12">
    <tableColumn id="1" name="Candidate_ID"/>
    <tableColumn id="2" name="Recruiter"/>
    <tableColumn id="3" name="Job_Title"/>
    <tableColumn id="4" name="Department"/>
    <tableColumn id="5" name="Application_Date" dataDxfId="5"/>
    <tableColumn id="6" name="Interview_Date" dataDxfId="4"/>
    <tableColumn id="7" name="Offer_Date" dataDxfId="3"/>
    <tableColumn id="8" name="Hire_Date" dataDxfId="2"/>
    <tableColumn id="9" name="Source"/>
    <tableColumn id="10" name="Status "/>
    <tableColumn id="11" name="Salary" dataDxfId="1"/>
    <tableColumn id="12" name="Days_to_Hire">
      <calculatedColumnFormula>IF(H2="","",H2-E2)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tabSelected="1" topLeftCell="A2" workbookViewId="0">
      <selection activeCell="E12" sqref="E12"/>
    </sheetView>
  </sheetViews>
  <sheetFormatPr defaultRowHeight="15" x14ac:dyDescent="0.25"/>
  <cols>
    <col min="1" max="1" width="15" customWidth="1"/>
    <col min="2" max="2" width="11.28515625" customWidth="1"/>
    <col min="3" max="3" width="16" bestFit="1" customWidth="1"/>
    <col min="4" max="4" width="16.85546875" bestFit="1" customWidth="1"/>
    <col min="5" max="5" width="18.42578125" customWidth="1"/>
    <col min="6" max="6" width="16.85546875" customWidth="1"/>
    <col min="7" max="7" width="13" customWidth="1"/>
    <col min="8" max="8" width="12" customWidth="1"/>
    <col min="9" max="9" width="17.42578125" bestFit="1" customWidth="1"/>
    <col min="10" max="10" width="9" customWidth="1"/>
    <col min="11" max="11" width="11.5703125" bestFit="1" customWidth="1"/>
    <col min="12" max="12" width="14.85546875" customWidth="1"/>
    <col min="13" max="14" width="13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2">
        <v>46027</v>
      </c>
      <c r="F2" s="2">
        <v>46032</v>
      </c>
      <c r="G2" s="2">
        <v>46037</v>
      </c>
      <c r="H2" s="2">
        <v>46044</v>
      </c>
      <c r="I2" t="s">
        <v>16</v>
      </c>
      <c r="J2" t="s">
        <v>17</v>
      </c>
      <c r="K2" s="1">
        <v>72000</v>
      </c>
      <c r="L2">
        <f>IF(H2="","",H2-E2)</f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15</v>
      </c>
      <c r="E3" s="2">
        <v>46029</v>
      </c>
      <c r="F3" s="2">
        <v>46036</v>
      </c>
      <c r="G3" s="2">
        <v>46042</v>
      </c>
      <c r="H3" s="2">
        <v>46049</v>
      </c>
      <c r="I3" t="s">
        <v>21</v>
      </c>
      <c r="J3" t="s">
        <v>17</v>
      </c>
      <c r="K3" s="1">
        <v>76000</v>
      </c>
      <c r="L3">
        <f t="shared" ref="L3:L11" si="0">IF(H3="","",H3-E3)</f>
        <v>20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s="2">
        <v>46030</v>
      </c>
      <c r="F4" s="2">
        <v>46038</v>
      </c>
      <c r="I4" t="s">
        <v>16</v>
      </c>
      <c r="J4" t="s">
        <v>26</v>
      </c>
      <c r="K4" s="1"/>
      <c r="L4" t="str">
        <f t="shared" si="0"/>
        <v/>
      </c>
    </row>
    <row r="5" spans="1:12" x14ac:dyDescent="0.25">
      <c r="A5" t="s">
        <v>27</v>
      </c>
      <c r="B5" t="s">
        <v>13</v>
      </c>
      <c r="C5" t="s">
        <v>28</v>
      </c>
      <c r="D5" t="s">
        <v>29</v>
      </c>
      <c r="E5" s="2">
        <v>46034</v>
      </c>
      <c r="F5" s="2">
        <v>46040</v>
      </c>
      <c r="G5" s="2">
        <v>46045</v>
      </c>
      <c r="H5" s="2">
        <v>46052</v>
      </c>
      <c r="I5" t="s">
        <v>30</v>
      </c>
      <c r="J5" t="s">
        <v>17</v>
      </c>
      <c r="K5" s="1">
        <v>70000</v>
      </c>
      <c r="L5">
        <f t="shared" si="0"/>
        <v>18</v>
      </c>
    </row>
    <row r="6" spans="1:12" x14ac:dyDescent="0.25">
      <c r="A6" t="s">
        <v>31</v>
      </c>
      <c r="B6" t="s">
        <v>32</v>
      </c>
      <c r="C6" t="s">
        <v>14</v>
      </c>
      <c r="D6" t="s">
        <v>15</v>
      </c>
      <c r="E6" s="2">
        <v>46037</v>
      </c>
      <c r="F6" s="2">
        <v>46043</v>
      </c>
      <c r="I6" t="s">
        <v>21</v>
      </c>
      <c r="J6" t="s">
        <v>26</v>
      </c>
      <c r="K6" s="1"/>
      <c r="L6" t="str">
        <f t="shared" si="0"/>
        <v/>
      </c>
    </row>
    <row r="7" spans="1:12" x14ac:dyDescent="0.25">
      <c r="A7" t="s">
        <v>33</v>
      </c>
      <c r="B7" t="s">
        <v>19</v>
      </c>
      <c r="C7" t="s">
        <v>34</v>
      </c>
      <c r="D7" t="s">
        <v>35</v>
      </c>
      <c r="E7" s="2">
        <v>46040</v>
      </c>
      <c r="F7" s="2">
        <v>46047</v>
      </c>
      <c r="G7" s="2">
        <v>46052</v>
      </c>
      <c r="H7" s="2">
        <v>46059</v>
      </c>
      <c r="I7" t="s">
        <v>30</v>
      </c>
      <c r="J7" t="s">
        <v>17</v>
      </c>
      <c r="K7" s="1">
        <v>65000</v>
      </c>
      <c r="L7">
        <f t="shared" si="0"/>
        <v>19</v>
      </c>
    </row>
    <row r="8" spans="1:12" x14ac:dyDescent="0.25">
      <c r="A8" t="s">
        <v>36</v>
      </c>
      <c r="B8" t="s">
        <v>23</v>
      </c>
      <c r="C8" t="s">
        <v>37</v>
      </c>
      <c r="D8" t="s">
        <v>15</v>
      </c>
      <c r="E8" s="2">
        <v>46042</v>
      </c>
      <c r="F8" s="2">
        <v>46049</v>
      </c>
      <c r="G8" s="2">
        <v>46055</v>
      </c>
      <c r="H8" s="2">
        <v>46062</v>
      </c>
      <c r="I8" t="s">
        <v>16</v>
      </c>
      <c r="J8" t="s">
        <v>17</v>
      </c>
      <c r="K8" s="1">
        <v>80000</v>
      </c>
      <c r="L8">
        <f t="shared" si="0"/>
        <v>20</v>
      </c>
    </row>
    <row r="9" spans="1:12" x14ac:dyDescent="0.25">
      <c r="A9" t="s">
        <v>38</v>
      </c>
      <c r="B9" t="s">
        <v>32</v>
      </c>
      <c r="C9" t="s">
        <v>24</v>
      </c>
      <c r="D9" t="s">
        <v>25</v>
      </c>
      <c r="E9" s="2">
        <v>46044</v>
      </c>
      <c r="F9" s="2">
        <v>46051</v>
      </c>
      <c r="I9" t="s">
        <v>39</v>
      </c>
      <c r="J9" t="s">
        <v>26</v>
      </c>
      <c r="K9" s="1"/>
      <c r="L9" t="str">
        <f t="shared" si="0"/>
        <v/>
      </c>
    </row>
    <row r="10" spans="1:12" x14ac:dyDescent="0.25">
      <c r="A10" t="s">
        <v>40</v>
      </c>
      <c r="B10" t="s">
        <v>13</v>
      </c>
      <c r="C10" t="s">
        <v>20</v>
      </c>
      <c r="D10" t="s">
        <v>41</v>
      </c>
      <c r="E10" s="2">
        <v>46047</v>
      </c>
      <c r="F10" s="2">
        <v>46055</v>
      </c>
      <c r="G10" s="2">
        <v>46059</v>
      </c>
      <c r="H10" s="2">
        <v>46066</v>
      </c>
      <c r="I10" t="s">
        <v>21</v>
      </c>
      <c r="J10" t="s">
        <v>17</v>
      </c>
      <c r="K10" s="1">
        <v>74000</v>
      </c>
      <c r="L10">
        <f t="shared" si="0"/>
        <v>19</v>
      </c>
    </row>
    <row r="11" spans="1:12" x14ac:dyDescent="0.25">
      <c r="A11" t="s">
        <v>42</v>
      </c>
      <c r="B11" t="s">
        <v>19</v>
      </c>
      <c r="C11" t="s">
        <v>14</v>
      </c>
      <c r="D11" t="s">
        <v>15</v>
      </c>
      <c r="E11" s="2">
        <v>46050</v>
      </c>
      <c r="F11" s="2">
        <v>46057</v>
      </c>
      <c r="I11" t="s">
        <v>30</v>
      </c>
      <c r="J11" t="s">
        <v>26</v>
      </c>
      <c r="K11" s="1"/>
      <c r="L11" t="str">
        <f t="shared" si="0"/>
        <v/>
      </c>
    </row>
    <row r="12" spans="1:12" x14ac:dyDescent="0.25">
      <c r="A12" t="s">
        <v>43</v>
      </c>
      <c r="B12" t="s">
        <v>13</v>
      </c>
      <c r="C12" t="s">
        <v>14</v>
      </c>
      <c r="D12" t="s">
        <v>15</v>
      </c>
      <c r="E12" s="2">
        <v>46217</v>
      </c>
      <c r="F12" s="2">
        <v>46222</v>
      </c>
      <c r="G12" s="2">
        <v>46226</v>
      </c>
      <c r="H12" s="2">
        <v>46236</v>
      </c>
      <c r="I12" t="s">
        <v>30</v>
      </c>
      <c r="J12" t="s">
        <v>17</v>
      </c>
      <c r="K12" s="1">
        <v>82000</v>
      </c>
      <c r="L12">
        <f t="shared" ref="L12:L43" si="1">IF(H12="","",H12-E12)</f>
        <v>19</v>
      </c>
    </row>
    <row r="13" spans="1:12" x14ac:dyDescent="0.25">
      <c r="A13" t="s">
        <v>44</v>
      </c>
      <c r="B13" t="s">
        <v>32</v>
      </c>
      <c r="C13" t="s">
        <v>14</v>
      </c>
      <c r="D13" t="s">
        <v>15</v>
      </c>
      <c r="E13" s="2">
        <v>46076</v>
      </c>
      <c r="F13" s="2">
        <v>46081</v>
      </c>
      <c r="G13" s="2">
        <v>46089</v>
      </c>
      <c r="H13" s="2">
        <v>46098</v>
      </c>
      <c r="I13" t="s">
        <v>16</v>
      </c>
      <c r="J13" t="s">
        <v>17</v>
      </c>
      <c r="K13" s="1">
        <v>65000</v>
      </c>
      <c r="L13">
        <f t="shared" si="1"/>
        <v>22</v>
      </c>
    </row>
    <row r="14" spans="1:12" x14ac:dyDescent="0.25">
      <c r="A14" t="s">
        <v>45</v>
      </c>
      <c r="B14" t="s">
        <v>19</v>
      </c>
      <c r="C14" t="s">
        <v>34</v>
      </c>
      <c r="D14" t="s">
        <v>35</v>
      </c>
      <c r="E14" s="2">
        <v>46197</v>
      </c>
      <c r="F14" s="2">
        <v>46205</v>
      </c>
      <c r="G14" s="2">
        <v>46211</v>
      </c>
      <c r="H14" s="2">
        <v>46216</v>
      </c>
      <c r="I14" t="s">
        <v>39</v>
      </c>
      <c r="J14" t="s">
        <v>17</v>
      </c>
      <c r="K14" s="1">
        <v>63000</v>
      </c>
      <c r="L14">
        <f t="shared" si="1"/>
        <v>19</v>
      </c>
    </row>
    <row r="15" spans="1:12" x14ac:dyDescent="0.25">
      <c r="A15" t="s">
        <v>46</v>
      </c>
      <c r="B15" t="s">
        <v>32</v>
      </c>
      <c r="C15" t="s">
        <v>37</v>
      </c>
      <c r="D15" t="s">
        <v>15</v>
      </c>
      <c r="E15" s="2">
        <v>46232</v>
      </c>
      <c r="F15" s="2">
        <v>46242</v>
      </c>
      <c r="G15" s="2">
        <v>46248</v>
      </c>
      <c r="H15" s="2">
        <v>46253</v>
      </c>
      <c r="I15" t="s">
        <v>30</v>
      </c>
      <c r="J15" t="s">
        <v>17</v>
      </c>
      <c r="K15" s="1">
        <v>77000</v>
      </c>
      <c r="L15">
        <f t="shared" si="1"/>
        <v>21</v>
      </c>
    </row>
    <row r="16" spans="1:12" x14ac:dyDescent="0.25">
      <c r="A16" t="s">
        <v>47</v>
      </c>
      <c r="B16" t="s">
        <v>13</v>
      </c>
      <c r="C16" t="s">
        <v>37</v>
      </c>
      <c r="D16" t="s">
        <v>15</v>
      </c>
      <c r="E16" s="2">
        <v>46151</v>
      </c>
      <c r="F16" s="2">
        <v>46161</v>
      </c>
      <c r="G16" s="2"/>
      <c r="H16" s="2"/>
      <c r="I16" t="s">
        <v>30</v>
      </c>
      <c r="J16" t="s">
        <v>26</v>
      </c>
      <c r="K16" s="1"/>
      <c r="L16" t="str">
        <f t="shared" si="1"/>
        <v/>
      </c>
    </row>
    <row r="17" spans="1:12" x14ac:dyDescent="0.25">
      <c r="A17" t="s">
        <v>48</v>
      </c>
      <c r="B17" t="s">
        <v>32</v>
      </c>
      <c r="C17" t="s">
        <v>28</v>
      </c>
      <c r="D17" t="s">
        <v>29</v>
      </c>
      <c r="E17" s="2">
        <v>46065</v>
      </c>
      <c r="F17" s="2">
        <v>46072</v>
      </c>
      <c r="G17" s="2"/>
      <c r="H17" s="2"/>
      <c r="I17" t="s">
        <v>16</v>
      </c>
      <c r="J17" t="s">
        <v>26</v>
      </c>
      <c r="K17" s="1"/>
      <c r="L17" t="str">
        <f t="shared" si="1"/>
        <v/>
      </c>
    </row>
    <row r="18" spans="1:12" x14ac:dyDescent="0.25">
      <c r="A18" t="s">
        <v>49</v>
      </c>
      <c r="B18" t="s">
        <v>23</v>
      </c>
      <c r="C18" t="s">
        <v>50</v>
      </c>
      <c r="D18" t="s">
        <v>41</v>
      </c>
      <c r="E18" s="2">
        <v>46074</v>
      </c>
      <c r="F18" s="2">
        <v>46083</v>
      </c>
      <c r="G18" s="2"/>
      <c r="H18" s="2"/>
      <c r="I18" t="s">
        <v>30</v>
      </c>
      <c r="J18" t="s">
        <v>26</v>
      </c>
      <c r="K18" s="1"/>
      <c r="L18" t="str">
        <f t="shared" si="1"/>
        <v/>
      </c>
    </row>
    <row r="19" spans="1:12" x14ac:dyDescent="0.25">
      <c r="A19" t="s">
        <v>51</v>
      </c>
      <c r="B19" t="s">
        <v>13</v>
      </c>
      <c r="C19" t="s">
        <v>34</v>
      </c>
      <c r="D19" t="s">
        <v>35</v>
      </c>
      <c r="E19" s="2">
        <v>46071</v>
      </c>
      <c r="F19" s="2">
        <v>46075</v>
      </c>
      <c r="G19" s="2"/>
      <c r="H19" s="2"/>
      <c r="I19" t="s">
        <v>21</v>
      </c>
      <c r="J19" t="s">
        <v>26</v>
      </c>
      <c r="K19" s="1"/>
      <c r="L19" t="str">
        <f t="shared" si="1"/>
        <v/>
      </c>
    </row>
    <row r="20" spans="1:12" x14ac:dyDescent="0.25">
      <c r="A20" t="s">
        <v>52</v>
      </c>
      <c r="B20" t="s">
        <v>13</v>
      </c>
      <c r="C20" t="s">
        <v>24</v>
      </c>
      <c r="D20" t="s">
        <v>25</v>
      </c>
      <c r="E20" s="2">
        <v>46113</v>
      </c>
      <c r="F20" s="2">
        <v>46123</v>
      </c>
      <c r="G20" s="2">
        <v>46129</v>
      </c>
      <c r="H20" s="2">
        <v>46135</v>
      </c>
      <c r="I20" t="s">
        <v>30</v>
      </c>
      <c r="J20" t="s">
        <v>17</v>
      </c>
      <c r="K20" s="1">
        <v>89000</v>
      </c>
      <c r="L20">
        <f t="shared" si="1"/>
        <v>22</v>
      </c>
    </row>
    <row r="21" spans="1:12" x14ac:dyDescent="0.25">
      <c r="A21" t="s">
        <v>53</v>
      </c>
      <c r="B21" t="s">
        <v>19</v>
      </c>
      <c r="C21" t="s">
        <v>34</v>
      </c>
      <c r="D21" t="s">
        <v>35</v>
      </c>
      <c r="E21" s="2">
        <v>46144</v>
      </c>
      <c r="F21" s="2">
        <v>46153</v>
      </c>
      <c r="G21" s="2"/>
      <c r="H21" s="2"/>
      <c r="I21" t="s">
        <v>30</v>
      </c>
      <c r="J21" t="s">
        <v>26</v>
      </c>
      <c r="K21" s="1"/>
      <c r="L21" t="str">
        <f t="shared" si="1"/>
        <v/>
      </c>
    </row>
    <row r="22" spans="1:12" x14ac:dyDescent="0.25">
      <c r="A22" t="s">
        <v>54</v>
      </c>
      <c r="B22" t="s">
        <v>13</v>
      </c>
      <c r="C22" t="s">
        <v>28</v>
      </c>
      <c r="D22" t="s">
        <v>29</v>
      </c>
      <c r="E22" s="2">
        <v>46219</v>
      </c>
      <c r="F22" s="2">
        <v>46224</v>
      </c>
      <c r="G22" s="2">
        <v>46229</v>
      </c>
      <c r="H22" s="2">
        <v>46237</v>
      </c>
      <c r="I22" t="s">
        <v>21</v>
      </c>
      <c r="J22" t="s">
        <v>17</v>
      </c>
      <c r="K22" s="1">
        <v>77000</v>
      </c>
      <c r="L22">
        <f t="shared" si="1"/>
        <v>18</v>
      </c>
    </row>
    <row r="23" spans="1:12" x14ac:dyDescent="0.25">
      <c r="A23" t="s">
        <v>55</v>
      </c>
      <c r="B23" t="s">
        <v>19</v>
      </c>
      <c r="C23" t="s">
        <v>34</v>
      </c>
      <c r="D23" t="s">
        <v>35</v>
      </c>
      <c r="E23" s="2">
        <v>46123</v>
      </c>
      <c r="F23" s="2">
        <v>46133</v>
      </c>
      <c r="G23" s="2"/>
      <c r="H23" s="2"/>
      <c r="I23" t="s">
        <v>30</v>
      </c>
      <c r="J23" t="s">
        <v>26</v>
      </c>
      <c r="K23" s="1"/>
      <c r="L23" t="str">
        <f t="shared" si="1"/>
        <v/>
      </c>
    </row>
    <row r="24" spans="1:12" x14ac:dyDescent="0.25">
      <c r="A24" t="s">
        <v>56</v>
      </c>
      <c r="B24" t="s">
        <v>19</v>
      </c>
      <c r="C24" t="s">
        <v>50</v>
      </c>
      <c r="D24" t="s">
        <v>41</v>
      </c>
      <c r="E24" s="2">
        <v>46068</v>
      </c>
      <c r="F24" s="2">
        <v>46075</v>
      </c>
      <c r="G24" s="2"/>
      <c r="H24" s="2"/>
      <c r="I24" t="s">
        <v>16</v>
      </c>
      <c r="J24" t="s">
        <v>26</v>
      </c>
      <c r="K24" s="1"/>
      <c r="L24" t="str">
        <f t="shared" si="1"/>
        <v/>
      </c>
    </row>
    <row r="25" spans="1:12" x14ac:dyDescent="0.25">
      <c r="A25" t="s">
        <v>57</v>
      </c>
      <c r="B25" t="s">
        <v>13</v>
      </c>
      <c r="C25" t="s">
        <v>20</v>
      </c>
      <c r="D25" t="s">
        <v>15</v>
      </c>
      <c r="E25" s="2">
        <v>46122</v>
      </c>
      <c r="F25" s="2">
        <v>46129</v>
      </c>
      <c r="G25" s="2">
        <v>46136</v>
      </c>
      <c r="H25" s="2">
        <v>46146</v>
      </c>
      <c r="I25" t="s">
        <v>30</v>
      </c>
      <c r="J25" t="s">
        <v>17</v>
      </c>
      <c r="K25" s="1">
        <v>82000</v>
      </c>
      <c r="L25">
        <f t="shared" si="1"/>
        <v>24</v>
      </c>
    </row>
    <row r="26" spans="1:12" x14ac:dyDescent="0.25">
      <c r="A26" t="s">
        <v>58</v>
      </c>
      <c r="B26" t="s">
        <v>23</v>
      </c>
      <c r="C26" t="s">
        <v>20</v>
      </c>
      <c r="D26" t="s">
        <v>15</v>
      </c>
      <c r="E26" s="2">
        <v>46090</v>
      </c>
      <c r="F26" s="2">
        <v>46098</v>
      </c>
      <c r="G26" s="2"/>
      <c r="H26" s="2"/>
      <c r="I26" t="s">
        <v>21</v>
      </c>
      <c r="J26" t="s">
        <v>26</v>
      </c>
      <c r="K26" s="1"/>
      <c r="L26" t="str">
        <f t="shared" si="1"/>
        <v/>
      </c>
    </row>
    <row r="27" spans="1:12" x14ac:dyDescent="0.25">
      <c r="A27" t="s">
        <v>59</v>
      </c>
      <c r="B27" t="s">
        <v>32</v>
      </c>
      <c r="C27" t="s">
        <v>28</v>
      </c>
      <c r="D27" t="s">
        <v>29</v>
      </c>
      <c r="E27" s="2">
        <v>46121</v>
      </c>
      <c r="F27" s="2">
        <v>46126</v>
      </c>
      <c r="G27" s="2">
        <v>46134</v>
      </c>
      <c r="H27" s="2">
        <v>46142</v>
      </c>
      <c r="I27" t="s">
        <v>39</v>
      </c>
      <c r="J27" t="s">
        <v>17</v>
      </c>
      <c r="K27" s="1">
        <v>67000</v>
      </c>
      <c r="L27">
        <f t="shared" si="1"/>
        <v>21</v>
      </c>
    </row>
    <row r="28" spans="1:12" x14ac:dyDescent="0.25">
      <c r="A28" t="s">
        <v>60</v>
      </c>
      <c r="B28" t="s">
        <v>13</v>
      </c>
      <c r="C28" t="s">
        <v>20</v>
      </c>
      <c r="D28" t="s">
        <v>15</v>
      </c>
      <c r="E28" s="2">
        <v>46066</v>
      </c>
      <c r="F28" s="2">
        <v>46073</v>
      </c>
      <c r="G28" s="2"/>
      <c r="H28" s="2"/>
      <c r="I28" t="s">
        <v>21</v>
      </c>
      <c r="J28" t="s">
        <v>26</v>
      </c>
      <c r="K28" s="1"/>
      <c r="L28" t="str">
        <f t="shared" si="1"/>
        <v/>
      </c>
    </row>
    <row r="29" spans="1:12" x14ac:dyDescent="0.25">
      <c r="A29" t="s">
        <v>61</v>
      </c>
      <c r="B29" t="s">
        <v>13</v>
      </c>
      <c r="C29" t="s">
        <v>24</v>
      </c>
      <c r="D29" t="s">
        <v>25</v>
      </c>
      <c r="E29" s="2">
        <v>46206</v>
      </c>
      <c r="F29" s="2">
        <v>46213</v>
      </c>
      <c r="G29" s="2"/>
      <c r="H29" s="2"/>
      <c r="I29" t="s">
        <v>39</v>
      </c>
      <c r="J29" t="s">
        <v>26</v>
      </c>
      <c r="K29" s="1"/>
      <c r="L29" t="str">
        <f t="shared" si="1"/>
        <v/>
      </c>
    </row>
    <row r="30" spans="1:12" x14ac:dyDescent="0.25">
      <c r="A30" t="s">
        <v>62</v>
      </c>
      <c r="B30" t="s">
        <v>23</v>
      </c>
      <c r="C30" t="s">
        <v>28</v>
      </c>
      <c r="D30" t="s">
        <v>29</v>
      </c>
      <c r="E30" s="2">
        <v>46189</v>
      </c>
      <c r="F30" s="2">
        <v>46193</v>
      </c>
      <c r="G30" s="2"/>
      <c r="H30" s="2"/>
      <c r="I30" t="s">
        <v>16</v>
      </c>
      <c r="J30" t="s">
        <v>26</v>
      </c>
      <c r="K30" s="1"/>
      <c r="L30" t="str">
        <f t="shared" si="1"/>
        <v/>
      </c>
    </row>
    <row r="31" spans="1:12" x14ac:dyDescent="0.25">
      <c r="A31" t="s">
        <v>63</v>
      </c>
      <c r="B31" t="s">
        <v>23</v>
      </c>
      <c r="C31" t="s">
        <v>50</v>
      </c>
      <c r="D31" t="s">
        <v>41</v>
      </c>
      <c r="E31" s="2">
        <v>46228</v>
      </c>
      <c r="F31" s="2">
        <v>46235</v>
      </c>
      <c r="G31" s="2">
        <v>46240</v>
      </c>
      <c r="H31" s="2">
        <v>46248</v>
      </c>
      <c r="I31" t="s">
        <v>30</v>
      </c>
      <c r="J31" t="s">
        <v>17</v>
      </c>
      <c r="K31" s="1">
        <v>62000</v>
      </c>
      <c r="L31">
        <f t="shared" si="1"/>
        <v>20</v>
      </c>
    </row>
    <row r="32" spans="1:12" x14ac:dyDescent="0.25">
      <c r="A32" t="s">
        <v>64</v>
      </c>
      <c r="B32" t="s">
        <v>19</v>
      </c>
      <c r="C32" t="s">
        <v>28</v>
      </c>
      <c r="D32" t="s">
        <v>29</v>
      </c>
      <c r="E32" s="2">
        <v>46121</v>
      </c>
      <c r="F32" s="2">
        <v>46127</v>
      </c>
      <c r="G32" s="2"/>
      <c r="H32" s="2"/>
      <c r="I32" t="s">
        <v>16</v>
      </c>
      <c r="J32" t="s">
        <v>26</v>
      </c>
      <c r="K32" s="1"/>
      <c r="L32" t="str">
        <f t="shared" si="1"/>
        <v/>
      </c>
    </row>
    <row r="33" spans="1:12" x14ac:dyDescent="0.25">
      <c r="A33" t="s">
        <v>65</v>
      </c>
      <c r="B33" t="s">
        <v>19</v>
      </c>
      <c r="C33" t="s">
        <v>20</v>
      </c>
      <c r="D33" t="s">
        <v>15</v>
      </c>
      <c r="E33" s="2">
        <v>46217</v>
      </c>
      <c r="F33" s="2">
        <v>46225</v>
      </c>
      <c r="G33" s="2"/>
      <c r="H33" s="2"/>
      <c r="I33" t="s">
        <v>30</v>
      </c>
      <c r="J33" t="s">
        <v>26</v>
      </c>
      <c r="K33" s="1"/>
      <c r="L33" t="str">
        <f t="shared" si="1"/>
        <v/>
      </c>
    </row>
    <row r="34" spans="1:12" x14ac:dyDescent="0.25">
      <c r="A34" t="s">
        <v>66</v>
      </c>
      <c r="B34" t="s">
        <v>13</v>
      </c>
      <c r="C34" t="s">
        <v>28</v>
      </c>
      <c r="D34" t="s">
        <v>29</v>
      </c>
      <c r="E34" s="2">
        <v>46189</v>
      </c>
      <c r="F34" s="2">
        <v>46193</v>
      </c>
      <c r="G34" s="2">
        <v>46199</v>
      </c>
      <c r="H34" s="2">
        <v>46206</v>
      </c>
      <c r="I34" t="s">
        <v>30</v>
      </c>
      <c r="J34" t="s">
        <v>17</v>
      </c>
      <c r="K34" s="1">
        <v>72000</v>
      </c>
      <c r="L34">
        <f t="shared" si="1"/>
        <v>17</v>
      </c>
    </row>
    <row r="35" spans="1:12" x14ac:dyDescent="0.25">
      <c r="A35" t="s">
        <v>67</v>
      </c>
      <c r="B35" t="s">
        <v>19</v>
      </c>
      <c r="C35" t="s">
        <v>28</v>
      </c>
      <c r="D35" t="s">
        <v>29</v>
      </c>
      <c r="E35" s="2">
        <v>46068</v>
      </c>
      <c r="F35" s="2">
        <v>46075</v>
      </c>
      <c r="G35" s="2">
        <v>46079</v>
      </c>
      <c r="H35" s="2">
        <v>46088</v>
      </c>
      <c r="I35" t="s">
        <v>16</v>
      </c>
      <c r="J35" t="s">
        <v>17</v>
      </c>
      <c r="K35" s="1">
        <v>69000</v>
      </c>
      <c r="L35">
        <f t="shared" si="1"/>
        <v>20</v>
      </c>
    </row>
    <row r="36" spans="1:12" x14ac:dyDescent="0.25">
      <c r="A36" t="s">
        <v>68</v>
      </c>
      <c r="B36" t="s">
        <v>32</v>
      </c>
      <c r="C36" t="s">
        <v>28</v>
      </c>
      <c r="D36" t="s">
        <v>29</v>
      </c>
      <c r="E36" s="2">
        <v>46086</v>
      </c>
      <c r="F36" s="2">
        <v>46096</v>
      </c>
      <c r="G36" s="2">
        <v>46104</v>
      </c>
      <c r="H36" s="2">
        <v>46112</v>
      </c>
      <c r="I36" t="s">
        <v>21</v>
      </c>
      <c r="J36" t="s">
        <v>17</v>
      </c>
      <c r="K36" s="1">
        <v>71000</v>
      </c>
      <c r="L36">
        <f t="shared" si="1"/>
        <v>26</v>
      </c>
    </row>
    <row r="37" spans="1:12" x14ac:dyDescent="0.25">
      <c r="A37" t="s">
        <v>69</v>
      </c>
      <c r="B37" t="s">
        <v>19</v>
      </c>
      <c r="C37" t="s">
        <v>34</v>
      </c>
      <c r="D37" t="s">
        <v>35</v>
      </c>
      <c r="E37" s="2">
        <v>46192</v>
      </c>
      <c r="F37" s="2">
        <v>46201</v>
      </c>
      <c r="G37" s="2">
        <v>46207</v>
      </c>
      <c r="H37" s="2">
        <v>46215</v>
      </c>
      <c r="I37" t="s">
        <v>30</v>
      </c>
      <c r="J37" t="s">
        <v>17</v>
      </c>
      <c r="K37" s="1">
        <v>74000</v>
      </c>
      <c r="L37">
        <f t="shared" si="1"/>
        <v>23</v>
      </c>
    </row>
    <row r="38" spans="1:12" x14ac:dyDescent="0.25">
      <c r="A38" t="s">
        <v>70</v>
      </c>
      <c r="B38" t="s">
        <v>13</v>
      </c>
      <c r="C38" t="s">
        <v>20</v>
      </c>
      <c r="D38" t="s">
        <v>15</v>
      </c>
      <c r="E38" s="2">
        <v>46169</v>
      </c>
      <c r="F38" s="2">
        <v>46173</v>
      </c>
      <c r="G38" s="2">
        <v>46181</v>
      </c>
      <c r="H38" s="2">
        <v>46190</v>
      </c>
      <c r="I38" t="s">
        <v>21</v>
      </c>
      <c r="J38" t="s">
        <v>17</v>
      </c>
      <c r="K38" s="1">
        <v>75000</v>
      </c>
      <c r="L38">
        <f t="shared" si="1"/>
        <v>21</v>
      </c>
    </row>
    <row r="39" spans="1:12" x14ac:dyDescent="0.25">
      <c r="A39" t="s">
        <v>71</v>
      </c>
      <c r="B39" t="s">
        <v>19</v>
      </c>
      <c r="C39" t="s">
        <v>14</v>
      </c>
      <c r="D39" t="s">
        <v>15</v>
      </c>
      <c r="E39" s="2">
        <v>46204</v>
      </c>
      <c r="F39" s="2">
        <v>46208</v>
      </c>
      <c r="G39" s="2"/>
      <c r="H39" s="2"/>
      <c r="I39" t="s">
        <v>16</v>
      </c>
      <c r="J39" t="s">
        <v>26</v>
      </c>
      <c r="K39" s="1"/>
      <c r="L39" t="str">
        <f t="shared" si="1"/>
        <v/>
      </c>
    </row>
    <row r="40" spans="1:12" x14ac:dyDescent="0.25">
      <c r="A40" t="s">
        <v>72</v>
      </c>
      <c r="B40" t="s">
        <v>13</v>
      </c>
      <c r="C40" t="s">
        <v>14</v>
      </c>
      <c r="D40" t="s">
        <v>15</v>
      </c>
      <c r="E40" s="2">
        <v>46112</v>
      </c>
      <c r="F40" s="2">
        <v>46117</v>
      </c>
      <c r="G40" s="2">
        <v>46123</v>
      </c>
      <c r="H40" s="2">
        <v>46133</v>
      </c>
      <c r="I40" t="s">
        <v>30</v>
      </c>
      <c r="J40" t="s">
        <v>17</v>
      </c>
      <c r="K40" s="1">
        <v>80000</v>
      </c>
      <c r="L40">
        <f t="shared" si="1"/>
        <v>21</v>
      </c>
    </row>
    <row r="41" spans="1:12" x14ac:dyDescent="0.25">
      <c r="A41" t="s">
        <v>73</v>
      </c>
      <c r="B41" t="s">
        <v>19</v>
      </c>
      <c r="C41" t="s">
        <v>34</v>
      </c>
      <c r="D41" t="s">
        <v>35</v>
      </c>
      <c r="E41" s="2">
        <v>46108</v>
      </c>
      <c r="F41" s="2">
        <v>46115</v>
      </c>
      <c r="G41" s="2">
        <v>46122</v>
      </c>
      <c r="H41" s="2">
        <v>46128</v>
      </c>
      <c r="I41" t="s">
        <v>39</v>
      </c>
      <c r="J41" t="s">
        <v>17</v>
      </c>
      <c r="K41" s="1">
        <v>61000</v>
      </c>
      <c r="L41">
        <f t="shared" si="1"/>
        <v>20</v>
      </c>
    </row>
    <row r="42" spans="1:12" x14ac:dyDescent="0.25">
      <c r="A42" t="s">
        <v>74</v>
      </c>
      <c r="B42" t="s">
        <v>32</v>
      </c>
      <c r="C42" t="s">
        <v>37</v>
      </c>
      <c r="D42" t="s">
        <v>15</v>
      </c>
      <c r="E42" s="2">
        <v>46078</v>
      </c>
      <c r="F42" s="2">
        <v>46088</v>
      </c>
      <c r="G42" s="2">
        <v>46092</v>
      </c>
      <c r="H42" s="2">
        <v>46102</v>
      </c>
      <c r="I42" t="s">
        <v>39</v>
      </c>
      <c r="J42" t="s">
        <v>17</v>
      </c>
      <c r="K42" s="1">
        <v>95000</v>
      </c>
      <c r="L42">
        <f t="shared" si="1"/>
        <v>24</v>
      </c>
    </row>
    <row r="43" spans="1:12" x14ac:dyDescent="0.25">
      <c r="A43" t="s">
        <v>75</v>
      </c>
      <c r="B43" t="s">
        <v>13</v>
      </c>
      <c r="C43" t="s">
        <v>14</v>
      </c>
      <c r="D43" t="s">
        <v>15</v>
      </c>
      <c r="E43" s="2">
        <v>46219</v>
      </c>
      <c r="F43" s="2">
        <v>46229</v>
      </c>
      <c r="G43" s="2"/>
      <c r="H43" s="2"/>
      <c r="I43" t="s">
        <v>39</v>
      </c>
      <c r="J43" t="s">
        <v>26</v>
      </c>
      <c r="K43" s="1"/>
      <c r="L43" t="str">
        <f t="shared" si="1"/>
        <v/>
      </c>
    </row>
    <row r="44" spans="1:12" x14ac:dyDescent="0.25">
      <c r="A44" t="s">
        <v>76</v>
      </c>
      <c r="B44" t="s">
        <v>19</v>
      </c>
      <c r="C44" t="s">
        <v>20</v>
      </c>
      <c r="D44" t="s">
        <v>15</v>
      </c>
      <c r="E44" s="2">
        <v>46081</v>
      </c>
      <c r="F44" s="2">
        <v>46086</v>
      </c>
      <c r="G44" s="2">
        <v>46093</v>
      </c>
      <c r="H44" s="2">
        <v>46099</v>
      </c>
      <c r="I44" t="s">
        <v>21</v>
      </c>
      <c r="J44" t="s">
        <v>17</v>
      </c>
      <c r="K44" s="1">
        <v>76000</v>
      </c>
      <c r="L44">
        <f t="shared" ref="L44:L75" si="2">IF(H44="","",H44-E44)</f>
        <v>18</v>
      </c>
    </row>
    <row r="45" spans="1:12" x14ac:dyDescent="0.25">
      <c r="A45" t="s">
        <v>77</v>
      </c>
      <c r="B45" t="s">
        <v>19</v>
      </c>
      <c r="C45" t="s">
        <v>50</v>
      </c>
      <c r="D45" t="s">
        <v>41</v>
      </c>
      <c r="E45" s="2">
        <v>46172</v>
      </c>
      <c r="F45" s="2">
        <v>46182</v>
      </c>
      <c r="G45" s="2">
        <v>46190</v>
      </c>
      <c r="H45" s="2">
        <v>46195</v>
      </c>
      <c r="I45" t="s">
        <v>16</v>
      </c>
      <c r="J45" t="s">
        <v>17</v>
      </c>
      <c r="K45" s="1">
        <v>63000</v>
      </c>
      <c r="L45">
        <f t="shared" si="2"/>
        <v>23</v>
      </c>
    </row>
    <row r="46" spans="1:12" x14ac:dyDescent="0.25">
      <c r="A46" t="s">
        <v>78</v>
      </c>
      <c r="B46" t="s">
        <v>13</v>
      </c>
      <c r="C46" t="s">
        <v>14</v>
      </c>
      <c r="D46" t="s">
        <v>15</v>
      </c>
      <c r="E46" s="2">
        <v>46220</v>
      </c>
      <c r="F46" s="2">
        <v>46227</v>
      </c>
      <c r="G46" s="2">
        <v>46234</v>
      </c>
      <c r="H46" s="2">
        <v>46240</v>
      </c>
      <c r="I46" t="s">
        <v>21</v>
      </c>
      <c r="J46" t="s">
        <v>17</v>
      </c>
      <c r="K46" s="1">
        <v>77000</v>
      </c>
      <c r="L46">
        <f t="shared" si="2"/>
        <v>20</v>
      </c>
    </row>
    <row r="47" spans="1:12" x14ac:dyDescent="0.25">
      <c r="A47" t="s">
        <v>79</v>
      </c>
      <c r="B47" t="s">
        <v>19</v>
      </c>
      <c r="C47" t="s">
        <v>24</v>
      </c>
      <c r="D47" t="s">
        <v>25</v>
      </c>
      <c r="E47" s="2">
        <v>46069</v>
      </c>
      <c r="F47" s="2">
        <v>46075</v>
      </c>
      <c r="G47" s="2"/>
      <c r="H47" s="2"/>
      <c r="I47" t="s">
        <v>16</v>
      </c>
      <c r="J47" t="s">
        <v>26</v>
      </c>
      <c r="K47" s="1"/>
      <c r="L47" t="str">
        <f t="shared" si="2"/>
        <v/>
      </c>
    </row>
    <row r="48" spans="1:12" x14ac:dyDescent="0.25">
      <c r="A48" t="s">
        <v>80</v>
      </c>
      <c r="B48" t="s">
        <v>23</v>
      </c>
      <c r="C48" t="s">
        <v>24</v>
      </c>
      <c r="D48" t="s">
        <v>25</v>
      </c>
      <c r="E48" s="2">
        <v>46170</v>
      </c>
      <c r="F48" s="2">
        <v>46176</v>
      </c>
      <c r="G48" s="2">
        <v>46181</v>
      </c>
      <c r="H48" s="2">
        <v>46186</v>
      </c>
      <c r="I48" t="s">
        <v>39</v>
      </c>
      <c r="J48" t="s">
        <v>17</v>
      </c>
      <c r="K48" s="1">
        <v>96000</v>
      </c>
      <c r="L48">
        <f t="shared" si="2"/>
        <v>16</v>
      </c>
    </row>
    <row r="49" spans="1:12" x14ac:dyDescent="0.25">
      <c r="A49" t="s">
        <v>81</v>
      </c>
      <c r="B49" t="s">
        <v>13</v>
      </c>
      <c r="C49" t="s">
        <v>34</v>
      </c>
      <c r="D49" t="s">
        <v>35</v>
      </c>
      <c r="E49" s="2">
        <v>46192</v>
      </c>
      <c r="F49" s="2">
        <v>46200</v>
      </c>
      <c r="G49" s="2">
        <v>46207</v>
      </c>
      <c r="H49" s="2">
        <v>46216</v>
      </c>
      <c r="I49" t="s">
        <v>30</v>
      </c>
      <c r="J49" t="s">
        <v>17</v>
      </c>
      <c r="K49" s="1">
        <v>74000</v>
      </c>
      <c r="L49">
        <f t="shared" si="2"/>
        <v>24</v>
      </c>
    </row>
    <row r="50" spans="1:12" x14ac:dyDescent="0.25">
      <c r="A50" t="s">
        <v>82</v>
      </c>
      <c r="B50" t="s">
        <v>13</v>
      </c>
      <c r="C50" t="s">
        <v>28</v>
      </c>
      <c r="D50" t="s">
        <v>29</v>
      </c>
      <c r="E50" s="2">
        <v>46094</v>
      </c>
      <c r="F50" s="2">
        <v>46098</v>
      </c>
      <c r="G50" s="2"/>
      <c r="H50" s="2"/>
      <c r="I50" t="s">
        <v>16</v>
      </c>
      <c r="J50" t="s">
        <v>26</v>
      </c>
      <c r="K50" s="1"/>
      <c r="L50" t="str">
        <f t="shared" si="2"/>
        <v/>
      </c>
    </row>
    <row r="51" spans="1:12" x14ac:dyDescent="0.25">
      <c r="A51" t="s">
        <v>83</v>
      </c>
      <c r="B51" t="s">
        <v>13</v>
      </c>
      <c r="C51" t="s">
        <v>34</v>
      </c>
      <c r="D51" t="s">
        <v>35</v>
      </c>
      <c r="E51" s="2">
        <v>46206</v>
      </c>
      <c r="F51" s="2">
        <v>46214</v>
      </c>
      <c r="G51" s="2">
        <v>46219</v>
      </c>
      <c r="H51" s="2">
        <v>46228</v>
      </c>
      <c r="I51" t="s">
        <v>21</v>
      </c>
      <c r="J51" t="s">
        <v>17</v>
      </c>
      <c r="K51" s="1">
        <v>59000</v>
      </c>
      <c r="L51">
        <f t="shared" si="2"/>
        <v>22</v>
      </c>
    </row>
    <row r="52" spans="1:12" x14ac:dyDescent="0.25">
      <c r="A52" t="s">
        <v>84</v>
      </c>
      <c r="B52" t="s">
        <v>13</v>
      </c>
      <c r="C52" t="s">
        <v>24</v>
      </c>
      <c r="D52" t="s">
        <v>25</v>
      </c>
      <c r="E52" s="2">
        <v>46212</v>
      </c>
      <c r="F52" s="2">
        <v>46217</v>
      </c>
      <c r="G52" s="2"/>
      <c r="H52" s="2"/>
      <c r="I52" t="s">
        <v>30</v>
      </c>
      <c r="J52" t="s">
        <v>26</v>
      </c>
      <c r="K52" s="1"/>
      <c r="L52" t="str">
        <f t="shared" si="2"/>
        <v/>
      </c>
    </row>
    <row r="53" spans="1:12" x14ac:dyDescent="0.25">
      <c r="A53" t="s">
        <v>85</v>
      </c>
      <c r="B53" t="s">
        <v>23</v>
      </c>
      <c r="C53" t="s">
        <v>20</v>
      </c>
      <c r="D53" t="s">
        <v>15</v>
      </c>
      <c r="E53" s="2">
        <v>46225</v>
      </c>
      <c r="F53" s="2">
        <v>46234</v>
      </c>
      <c r="G53" s="2">
        <v>46240</v>
      </c>
      <c r="H53" s="2">
        <v>46248</v>
      </c>
      <c r="I53" t="s">
        <v>30</v>
      </c>
      <c r="J53" t="s">
        <v>17</v>
      </c>
      <c r="K53" s="1">
        <v>78000</v>
      </c>
      <c r="L53">
        <f t="shared" si="2"/>
        <v>23</v>
      </c>
    </row>
    <row r="54" spans="1:12" x14ac:dyDescent="0.25">
      <c r="A54" t="s">
        <v>86</v>
      </c>
      <c r="B54" t="s">
        <v>13</v>
      </c>
      <c r="C54" t="s">
        <v>24</v>
      </c>
      <c r="D54" t="s">
        <v>25</v>
      </c>
      <c r="E54" s="2">
        <v>46072</v>
      </c>
      <c r="F54" s="2">
        <v>46077</v>
      </c>
      <c r="G54" s="2">
        <v>46085</v>
      </c>
      <c r="H54" s="2">
        <v>46092</v>
      </c>
      <c r="I54" t="s">
        <v>16</v>
      </c>
      <c r="J54" t="s">
        <v>17</v>
      </c>
      <c r="K54" s="1">
        <v>82000</v>
      </c>
      <c r="L54">
        <f t="shared" si="2"/>
        <v>20</v>
      </c>
    </row>
    <row r="55" spans="1:12" x14ac:dyDescent="0.25">
      <c r="A55" t="s">
        <v>87</v>
      </c>
      <c r="B55" t="s">
        <v>13</v>
      </c>
      <c r="C55" t="s">
        <v>20</v>
      </c>
      <c r="D55" t="s">
        <v>15</v>
      </c>
      <c r="E55" s="2">
        <v>46143</v>
      </c>
      <c r="F55" s="2">
        <v>46150</v>
      </c>
      <c r="G55" s="2">
        <v>46158</v>
      </c>
      <c r="H55" s="2">
        <v>46168</v>
      </c>
      <c r="I55" t="s">
        <v>30</v>
      </c>
      <c r="J55" t="s">
        <v>17</v>
      </c>
      <c r="K55" s="1">
        <v>77000</v>
      </c>
      <c r="L55">
        <f t="shared" si="2"/>
        <v>25</v>
      </c>
    </row>
    <row r="56" spans="1:12" x14ac:dyDescent="0.25">
      <c r="A56" t="s">
        <v>88</v>
      </c>
      <c r="B56" t="s">
        <v>13</v>
      </c>
      <c r="C56" t="s">
        <v>34</v>
      </c>
      <c r="D56" t="s">
        <v>35</v>
      </c>
      <c r="E56" s="2">
        <v>46210</v>
      </c>
      <c r="F56" s="2">
        <v>46214</v>
      </c>
      <c r="G56" s="2"/>
      <c r="H56" s="2"/>
      <c r="I56" t="s">
        <v>30</v>
      </c>
      <c r="J56" t="s">
        <v>26</v>
      </c>
      <c r="K56" s="1"/>
      <c r="L56" t="str">
        <f t="shared" si="2"/>
        <v/>
      </c>
    </row>
    <row r="57" spans="1:12" x14ac:dyDescent="0.25">
      <c r="A57" t="s">
        <v>89</v>
      </c>
      <c r="B57" t="s">
        <v>23</v>
      </c>
      <c r="C57" t="s">
        <v>14</v>
      </c>
      <c r="D57" t="s">
        <v>15</v>
      </c>
      <c r="E57" s="2">
        <v>46088</v>
      </c>
      <c r="F57" s="2">
        <v>46093</v>
      </c>
      <c r="G57" s="2"/>
      <c r="H57" s="2"/>
      <c r="I57" t="s">
        <v>16</v>
      </c>
      <c r="J57" t="s">
        <v>26</v>
      </c>
      <c r="K57" s="1"/>
      <c r="L57" t="str">
        <f t="shared" si="2"/>
        <v/>
      </c>
    </row>
    <row r="58" spans="1:12" x14ac:dyDescent="0.25">
      <c r="A58" t="s">
        <v>90</v>
      </c>
      <c r="B58" t="s">
        <v>23</v>
      </c>
      <c r="C58" t="s">
        <v>28</v>
      </c>
      <c r="D58" t="s">
        <v>29</v>
      </c>
      <c r="E58" s="2">
        <v>46123</v>
      </c>
      <c r="F58" s="2">
        <v>46128</v>
      </c>
      <c r="G58" s="2"/>
      <c r="H58" s="2"/>
      <c r="I58" t="s">
        <v>21</v>
      </c>
      <c r="J58" t="s">
        <v>26</v>
      </c>
      <c r="K58" s="1"/>
      <c r="L58" t="str">
        <f t="shared" si="2"/>
        <v/>
      </c>
    </row>
    <row r="59" spans="1:12" x14ac:dyDescent="0.25">
      <c r="A59" t="s">
        <v>91</v>
      </c>
      <c r="B59" t="s">
        <v>23</v>
      </c>
      <c r="C59" t="s">
        <v>28</v>
      </c>
      <c r="D59" t="s">
        <v>29</v>
      </c>
      <c r="E59" s="2">
        <v>46229</v>
      </c>
      <c r="F59" s="2">
        <v>46239</v>
      </c>
      <c r="G59" s="2">
        <v>46243</v>
      </c>
      <c r="H59" s="2">
        <v>46248</v>
      </c>
      <c r="I59" t="s">
        <v>39</v>
      </c>
      <c r="J59" t="s">
        <v>17</v>
      </c>
      <c r="K59" s="1">
        <v>85000</v>
      </c>
      <c r="L59">
        <f t="shared" si="2"/>
        <v>19</v>
      </c>
    </row>
    <row r="60" spans="1:12" x14ac:dyDescent="0.25">
      <c r="A60" t="s">
        <v>92</v>
      </c>
      <c r="B60" t="s">
        <v>23</v>
      </c>
      <c r="C60" t="s">
        <v>14</v>
      </c>
      <c r="D60" t="s">
        <v>15</v>
      </c>
      <c r="E60" s="2">
        <v>46162</v>
      </c>
      <c r="F60" s="2">
        <v>46167</v>
      </c>
      <c r="G60" s="2">
        <v>46173</v>
      </c>
      <c r="H60" s="2">
        <v>46179</v>
      </c>
      <c r="I60" t="s">
        <v>16</v>
      </c>
      <c r="J60" t="s">
        <v>17</v>
      </c>
      <c r="K60" s="1">
        <v>79000</v>
      </c>
      <c r="L60">
        <f t="shared" si="2"/>
        <v>17</v>
      </c>
    </row>
    <row r="61" spans="1:12" x14ac:dyDescent="0.25">
      <c r="A61" t="s">
        <v>93</v>
      </c>
      <c r="B61" t="s">
        <v>32</v>
      </c>
      <c r="C61" t="s">
        <v>28</v>
      </c>
      <c r="D61" t="s">
        <v>29</v>
      </c>
      <c r="E61" s="2">
        <v>46195</v>
      </c>
      <c r="F61" s="2">
        <v>46204</v>
      </c>
      <c r="G61" s="2">
        <v>46209</v>
      </c>
      <c r="H61" s="2">
        <v>46218</v>
      </c>
      <c r="I61" t="s">
        <v>16</v>
      </c>
      <c r="J61" t="s">
        <v>17</v>
      </c>
      <c r="K61" s="1">
        <v>66000</v>
      </c>
      <c r="L61">
        <f t="shared" si="2"/>
        <v>23</v>
      </c>
    </row>
    <row r="62" spans="1:12" x14ac:dyDescent="0.25">
      <c r="A62" t="s">
        <v>94</v>
      </c>
      <c r="B62" t="s">
        <v>19</v>
      </c>
      <c r="C62" t="s">
        <v>24</v>
      </c>
      <c r="D62" t="s">
        <v>25</v>
      </c>
      <c r="E62" s="2">
        <v>46148</v>
      </c>
      <c r="F62" s="2">
        <v>46154</v>
      </c>
      <c r="G62" s="2">
        <v>46158</v>
      </c>
      <c r="H62" s="2">
        <v>46165</v>
      </c>
      <c r="I62" t="s">
        <v>21</v>
      </c>
      <c r="J62" t="s">
        <v>17</v>
      </c>
      <c r="K62" s="1">
        <v>84000</v>
      </c>
      <c r="L62">
        <f t="shared" si="2"/>
        <v>17</v>
      </c>
    </row>
    <row r="63" spans="1:12" x14ac:dyDescent="0.25">
      <c r="A63" t="s">
        <v>95</v>
      </c>
      <c r="B63" t="s">
        <v>19</v>
      </c>
      <c r="C63" t="s">
        <v>34</v>
      </c>
      <c r="D63" t="s">
        <v>35</v>
      </c>
      <c r="E63" s="2">
        <v>46228</v>
      </c>
      <c r="F63" s="2">
        <v>46236</v>
      </c>
      <c r="G63" s="2">
        <v>46243</v>
      </c>
      <c r="H63" s="2">
        <v>46252</v>
      </c>
      <c r="I63" t="s">
        <v>16</v>
      </c>
      <c r="J63" t="s">
        <v>17</v>
      </c>
      <c r="K63" s="1">
        <v>62000</v>
      </c>
      <c r="L63">
        <f t="shared" si="2"/>
        <v>24</v>
      </c>
    </row>
    <row r="64" spans="1:12" x14ac:dyDescent="0.25">
      <c r="A64" t="s">
        <v>96</v>
      </c>
      <c r="B64" t="s">
        <v>19</v>
      </c>
      <c r="C64" t="s">
        <v>50</v>
      </c>
      <c r="D64" t="s">
        <v>41</v>
      </c>
      <c r="E64" s="2">
        <v>46114</v>
      </c>
      <c r="F64" s="2">
        <v>46118</v>
      </c>
      <c r="G64" s="2"/>
      <c r="H64" s="2"/>
      <c r="I64" t="s">
        <v>21</v>
      </c>
      <c r="J64" t="s">
        <v>26</v>
      </c>
      <c r="K64" s="1"/>
      <c r="L64" t="str">
        <f t="shared" si="2"/>
        <v/>
      </c>
    </row>
    <row r="65" spans="1:12" x14ac:dyDescent="0.25">
      <c r="A65" t="s">
        <v>97</v>
      </c>
      <c r="B65" t="s">
        <v>23</v>
      </c>
      <c r="C65" t="s">
        <v>50</v>
      </c>
      <c r="D65" t="s">
        <v>41</v>
      </c>
      <c r="E65" s="2">
        <v>46099</v>
      </c>
      <c r="F65" s="2">
        <v>46109</v>
      </c>
      <c r="G65" s="2"/>
      <c r="H65" s="2"/>
      <c r="I65" t="s">
        <v>39</v>
      </c>
      <c r="J65" t="s">
        <v>26</v>
      </c>
      <c r="K65" s="1"/>
      <c r="L65" t="str">
        <f t="shared" si="2"/>
        <v/>
      </c>
    </row>
    <row r="66" spans="1:12" x14ac:dyDescent="0.25">
      <c r="A66" t="s">
        <v>98</v>
      </c>
      <c r="B66" t="s">
        <v>23</v>
      </c>
      <c r="C66" t="s">
        <v>20</v>
      </c>
      <c r="D66" t="s">
        <v>15</v>
      </c>
      <c r="E66" s="2">
        <v>46117</v>
      </c>
      <c r="F66" s="2">
        <v>46121</v>
      </c>
      <c r="G66" s="2">
        <v>46128</v>
      </c>
      <c r="H66" s="2">
        <v>46134</v>
      </c>
      <c r="I66" t="s">
        <v>16</v>
      </c>
      <c r="J66" t="s">
        <v>17</v>
      </c>
      <c r="K66" s="1">
        <v>74000</v>
      </c>
      <c r="L66">
        <f t="shared" si="2"/>
        <v>17</v>
      </c>
    </row>
    <row r="67" spans="1:12" x14ac:dyDescent="0.25">
      <c r="A67" t="s">
        <v>99</v>
      </c>
      <c r="B67" t="s">
        <v>23</v>
      </c>
      <c r="C67" t="s">
        <v>37</v>
      </c>
      <c r="D67" t="s">
        <v>15</v>
      </c>
      <c r="E67" s="2">
        <v>46171</v>
      </c>
      <c r="F67" s="2">
        <v>46180</v>
      </c>
      <c r="G67" s="2">
        <v>46185</v>
      </c>
      <c r="H67" s="2">
        <v>46193</v>
      </c>
      <c r="I67" t="s">
        <v>21</v>
      </c>
      <c r="J67" t="s">
        <v>17</v>
      </c>
      <c r="K67" s="1">
        <v>85000</v>
      </c>
      <c r="L67">
        <f t="shared" si="2"/>
        <v>22</v>
      </c>
    </row>
    <row r="68" spans="1:12" x14ac:dyDescent="0.25">
      <c r="A68" t="s">
        <v>100</v>
      </c>
      <c r="B68" t="s">
        <v>13</v>
      </c>
      <c r="C68" t="s">
        <v>50</v>
      </c>
      <c r="D68" t="s">
        <v>41</v>
      </c>
      <c r="E68" s="2">
        <v>46125</v>
      </c>
      <c r="F68" s="2">
        <v>46133</v>
      </c>
      <c r="G68" s="2">
        <v>46140</v>
      </c>
      <c r="H68" s="2">
        <v>46150</v>
      </c>
      <c r="I68" t="s">
        <v>30</v>
      </c>
      <c r="J68" t="s">
        <v>17</v>
      </c>
      <c r="K68" s="1">
        <v>79000</v>
      </c>
      <c r="L68">
        <f t="shared" si="2"/>
        <v>25</v>
      </c>
    </row>
    <row r="69" spans="1:12" x14ac:dyDescent="0.25">
      <c r="A69" t="s">
        <v>101</v>
      </c>
      <c r="B69" t="s">
        <v>13</v>
      </c>
      <c r="C69" t="s">
        <v>14</v>
      </c>
      <c r="D69" t="s">
        <v>15</v>
      </c>
      <c r="E69" s="2">
        <v>46138</v>
      </c>
      <c r="F69" s="2">
        <v>46144</v>
      </c>
      <c r="G69" s="2">
        <v>46148</v>
      </c>
      <c r="H69" s="2">
        <v>46153</v>
      </c>
      <c r="I69" t="s">
        <v>30</v>
      </c>
      <c r="J69" t="s">
        <v>17</v>
      </c>
      <c r="K69" s="1">
        <v>84000</v>
      </c>
      <c r="L69">
        <f t="shared" si="2"/>
        <v>15</v>
      </c>
    </row>
    <row r="70" spans="1:12" x14ac:dyDescent="0.25">
      <c r="A70" t="s">
        <v>102</v>
      </c>
      <c r="B70" t="s">
        <v>23</v>
      </c>
      <c r="C70" t="s">
        <v>34</v>
      </c>
      <c r="D70" t="s">
        <v>35</v>
      </c>
      <c r="E70" s="2">
        <v>46165</v>
      </c>
      <c r="F70" s="2">
        <v>46173</v>
      </c>
      <c r="G70" s="2">
        <v>46177</v>
      </c>
      <c r="H70" s="2">
        <v>46185</v>
      </c>
      <c r="I70" t="s">
        <v>30</v>
      </c>
      <c r="J70" t="s">
        <v>17</v>
      </c>
      <c r="K70" s="1">
        <v>64000</v>
      </c>
      <c r="L70">
        <f t="shared" si="2"/>
        <v>20</v>
      </c>
    </row>
    <row r="71" spans="1:12" x14ac:dyDescent="0.25">
      <c r="A71" t="s">
        <v>103</v>
      </c>
      <c r="B71" t="s">
        <v>13</v>
      </c>
      <c r="C71" t="s">
        <v>34</v>
      </c>
      <c r="D71" t="s">
        <v>35</v>
      </c>
      <c r="E71" s="2">
        <v>46119</v>
      </c>
      <c r="F71" s="2">
        <v>46129</v>
      </c>
      <c r="G71" s="2">
        <v>46137</v>
      </c>
      <c r="H71" s="2">
        <v>46147</v>
      </c>
      <c r="I71" t="s">
        <v>39</v>
      </c>
      <c r="J71" t="s">
        <v>17</v>
      </c>
      <c r="K71" s="1">
        <v>64000</v>
      </c>
      <c r="L71">
        <f t="shared" si="2"/>
        <v>28</v>
      </c>
    </row>
    <row r="72" spans="1:12" x14ac:dyDescent="0.25">
      <c r="A72" t="s">
        <v>104</v>
      </c>
      <c r="B72" t="s">
        <v>32</v>
      </c>
      <c r="C72" t="s">
        <v>14</v>
      </c>
      <c r="D72" t="s">
        <v>15</v>
      </c>
      <c r="E72" s="2">
        <v>46147</v>
      </c>
      <c r="F72" s="2">
        <v>46156</v>
      </c>
      <c r="G72" s="2"/>
      <c r="H72" s="2"/>
      <c r="I72" t="s">
        <v>30</v>
      </c>
      <c r="J72" t="s">
        <v>26</v>
      </c>
      <c r="K72" s="1"/>
      <c r="L72" t="str">
        <f t="shared" si="2"/>
        <v/>
      </c>
    </row>
    <row r="73" spans="1:12" x14ac:dyDescent="0.25">
      <c r="A73" t="s">
        <v>105</v>
      </c>
      <c r="B73" t="s">
        <v>23</v>
      </c>
      <c r="C73" t="s">
        <v>28</v>
      </c>
      <c r="D73" t="s">
        <v>29</v>
      </c>
      <c r="E73" s="2">
        <v>46085</v>
      </c>
      <c r="F73" s="2">
        <v>46091</v>
      </c>
      <c r="G73" s="2"/>
      <c r="H73" s="2"/>
      <c r="I73" t="s">
        <v>30</v>
      </c>
      <c r="J73" t="s">
        <v>26</v>
      </c>
      <c r="K73" s="1"/>
      <c r="L73" t="str">
        <f t="shared" si="2"/>
        <v/>
      </c>
    </row>
    <row r="74" spans="1:12" x14ac:dyDescent="0.25">
      <c r="A74" t="s">
        <v>106</v>
      </c>
      <c r="B74" t="s">
        <v>23</v>
      </c>
      <c r="C74" t="s">
        <v>28</v>
      </c>
      <c r="D74" t="s">
        <v>29</v>
      </c>
      <c r="E74" s="2">
        <v>46157</v>
      </c>
      <c r="F74" s="2">
        <v>46166</v>
      </c>
      <c r="G74" s="2">
        <v>46173</v>
      </c>
      <c r="H74" s="2">
        <v>46183</v>
      </c>
      <c r="I74" t="s">
        <v>21</v>
      </c>
      <c r="J74" t="s">
        <v>17</v>
      </c>
      <c r="K74" s="1">
        <v>70000</v>
      </c>
      <c r="L74">
        <f t="shared" si="2"/>
        <v>26</v>
      </c>
    </row>
    <row r="75" spans="1:12" x14ac:dyDescent="0.25">
      <c r="A75" t="s">
        <v>107</v>
      </c>
      <c r="B75" t="s">
        <v>23</v>
      </c>
      <c r="C75" t="s">
        <v>24</v>
      </c>
      <c r="D75" t="s">
        <v>25</v>
      </c>
      <c r="E75" s="2">
        <v>46211</v>
      </c>
      <c r="F75" s="2">
        <v>46216</v>
      </c>
      <c r="G75" s="2">
        <v>46223</v>
      </c>
      <c r="H75" s="2">
        <v>46232</v>
      </c>
      <c r="I75" t="s">
        <v>16</v>
      </c>
      <c r="J75" t="s">
        <v>17</v>
      </c>
      <c r="K75" s="1">
        <v>97000</v>
      </c>
      <c r="L75">
        <f t="shared" si="2"/>
        <v>21</v>
      </c>
    </row>
    <row r="76" spans="1:12" x14ac:dyDescent="0.25">
      <c r="A76" t="s">
        <v>108</v>
      </c>
      <c r="B76" t="s">
        <v>23</v>
      </c>
      <c r="C76" t="s">
        <v>24</v>
      </c>
      <c r="D76" t="s">
        <v>25</v>
      </c>
      <c r="E76" s="2">
        <v>46221</v>
      </c>
      <c r="F76" s="2">
        <v>46226</v>
      </c>
      <c r="G76" s="2">
        <v>46234</v>
      </c>
      <c r="H76" s="2">
        <v>46242</v>
      </c>
      <c r="I76" t="s">
        <v>39</v>
      </c>
      <c r="J76" t="s">
        <v>17</v>
      </c>
      <c r="K76" s="1">
        <v>83000</v>
      </c>
      <c r="L76">
        <f t="shared" ref="L76:L107" si="3">IF(H76="","",H76-E76)</f>
        <v>21</v>
      </c>
    </row>
    <row r="77" spans="1:12" x14ac:dyDescent="0.25">
      <c r="A77" t="s">
        <v>109</v>
      </c>
      <c r="B77" t="s">
        <v>13</v>
      </c>
      <c r="C77" t="s">
        <v>37</v>
      </c>
      <c r="D77" t="s">
        <v>15</v>
      </c>
      <c r="E77" s="2">
        <v>46222</v>
      </c>
      <c r="F77" s="2">
        <v>46232</v>
      </c>
      <c r="G77" s="2">
        <v>46237</v>
      </c>
      <c r="H77" s="2">
        <v>46247</v>
      </c>
      <c r="I77" t="s">
        <v>30</v>
      </c>
      <c r="J77" t="s">
        <v>17</v>
      </c>
      <c r="K77" s="1">
        <v>84000</v>
      </c>
      <c r="L77">
        <f t="shared" si="3"/>
        <v>25</v>
      </c>
    </row>
    <row r="78" spans="1:12" x14ac:dyDescent="0.25">
      <c r="A78" t="s">
        <v>110</v>
      </c>
      <c r="B78" t="s">
        <v>19</v>
      </c>
      <c r="C78" t="s">
        <v>20</v>
      </c>
      <c r="D78" t="s">
        <v>15</v>
      </c>
      <c r="E78" s="2">
        <v>46111</v>
      </c>
      <c r="F78" s="2">
        <v>46118</v>
      </c>
      <c r="G78" s="2">
        <v>46126</v>
      </c>
      <c r="H78" s="2">
        <v>46131</v>
      </c>
      <c r="I78" t="s">
        <v>16</v>
      </c>
      <c r="J78" t="s">
        <v>17</v>
      </c>
      <c r="K78" s="1">
        <v>82000</v>
      </c>
      <c r="L78">
        <f t="shared" si="3"/>
        <v>20</v>
      </c>
    </row>
    <row r="79" spans="1:12" x14ac:dyDescent="0.25">
      <c r="A79" t="s">
        <v>111</v>
      </c>
      <c r="B79" t="s">
        <v>19</v>
      </c>
      <c r="C79" t="s">
        <v>34</v>
      </c>
      <c r="D79" t="s">
        <v>35</v>
      </c>
      <c r="E79" s="2">
        <v>46160</v>
      </c>
      <c r="F79" s="2">
        <v>46165</v>
      </c>
      <c r="G79" s="2">
        <v>46170</v>
      </c>
      <c r="H79" s="2">
        <v>46180</v>
      </c>
      <c r="I79" t="s">
        <v>39</v>
      </c>
      <c r="J79" t="s">
        <v>17</v>
      </c>
      <c r="K79" s="1">
        <v>58000</v>
      </c>
      <c r="L79">
        <f t="shared" si="3"/>
        <v>20</v>
      </c>
    </row>
    <row r="80" spans="1:12" x14ac:dyDescent="0.25">
      <c r="A80" t="s">
        <v>112</v>
      </c>
      <c r="B80" t="s">
        <v>32</v>
      </c>
      <c r="C80" t="s">
        <v>20</v>
      </c>
      <c r="D80" t="s">
        <v>15</v>
      </c>
      <c r="E80" s="2">
        <v>46081</v>
      </c>
      <c r="F80" s="2">
        <v>46090</v>
      </c>
      <c r="G80" s="2"/>
      <c r="H80" s="2"/>
      <c r="I80" t="s">
        <v>21</v>
      </c>
      <c r="J80" t="s">
        <v>26</v>
      </c>
      <c r="K80" s="1"/>
      <c r="L80" t="str">
        <f t="shared" si="3"/>
        <v/>
      </c>
    </row>
    <row r="81" spans="1:12" x14ac:dyDescent="0.25">
      <c r="A81" t="s">
        <v>113</v>
      </c>
      <c r="B81" t="s">
        <v>32</v>
      </c>
      <c r="C81" t="s">
        <v>14</v>
      </c>
      <c r="D81" t="s">
        <v>15</v>
      </c>
      <c r="E81" s="2">
        <v>46186</v>
      </c>
      <c r="F81" s="2">
        <v>46190</v>
      </c>
      <c r="G81" s="2"/>
      <c r="H81" s="2"/>
      <c r="I81" t="s">
        <v>21</v>
      </c>
      <c r="J81" t="s">
        <v>26</v>
      </c>
      <c r="K81" s="1"/>
      <c r="L81" t="str">
        <f t="shared" si="3"/>
        <v/>
      </c>
    </row>
    <row r="82" spans="1:12" x14ac:dyDescent="0.25">
      <c r="A82" t="s">
        <v>114</v>
      </c>
      <c r="B82" t="s">
        <v>19</v>
      </c>
      <c r="C82" t="s">
        <v>50</v>
      </c>
      <c r="D82" t="s">
        <v>41</v>
      </c>
      <c r="E82" s="2">
        <v>46170</v>
      </c>
      <c r="F82" s="2">
        <v>46178</v>
      </c>
      <c r="G82" s="2"/>
      <c r="H82" s="2"/>
      <c r="I82" t="s">
        <v>39</v>
      </c>
      <c r="J82" t="s">
        <v>26</v>
      </c>
      <c r="K82" s="1"/>
      <c r="L82" t="str">
        <f t="shared" si="3"/>
        <v/>
      </c>
    </row>
    <row r="83" spans="1:12" x14ac:dyDescent="0.25">
      <c r="A83" t="s">
        <v>115</v>
      </c>
      <c r="B83" t="s">
        <v>23</v>
      </c>
      <c r="C83" t="s">
        <v>50</v>
      </c>
      <c r="D83" t="s">
        <v>41</v>
      </c>
      <c r="E83" s="2">
        <v>46206</v>
      </c>
      <c r="F83" s="2">
        <v>46215</v>
      </c>
      <c r="G83" s="2"/>
      <c r="H83" s="2"/>
      <c r="I83" t="s">
        <v>39</v>
      </c>
      <c r="J83" t="s">
        <v>26</v>
      </c>
      <c r="K83" s="1"/>
      <c r="L83" t="str">
        <f t="shared" si="3"/>
        <v/>
      </c>
    </row>
    <row r="84" spans="1:12" x14ac:dyDescent="0.25">
      <c r="A84" t="s">
        <v>116</v>
      </c>
      <c r="B84" t="s">
        <v>32</v>
      </c>
      <c r="C84" t="s">
        <v>50</v>
      </c>
      <c r="D84" t="s">
        <v>41</v>
      </c>
      <c r="E84" s="2">
        <v>46183</v>
      </c>
      <c r="F84" s="2">
        <v>46192</v>
      </c>
      <c r="G84" s="2"/>
      <c r="H84" s="2"/>
      <c r="I84" t="s">
        <v>39</v>
      </c>
      <c r="J84" t="s">
        <v>26</v>
      </c>
      <c r="K84" s="1"/>
      <c r="L84" t="str">
        <f t="shared" si="3"/>
        <v/>
      </c>
    </row>
    <row r="85" spans="1:12" x14ac:dyDescent="0.25">
      <c r="A85" t="s">
        <v>117</v>
      </c>
      <c r="B85" t="s">
        <v>32</v>
      </c>
      <c r="C85" t="s">
        <v>37</v>
      </c>
      <c r="D85" t="s">
        <v>15</v>
      </c>
      <c r="E85" s="2">
        <v>46175</v>
      </c>
      <c r="F85" s="2">
        <v>46181</v>
      </c>
      <c r="G85" s="2"/>
      <c r="H85" s="2"/>
      <c r="I85" t="s">
        <v>21</v>
      </c>
      <c r="J85" t="s">
        <v>26</v>
      </c>
      <c r="K85" s="1"/>
      <c r="L85" t="str">
        <f t="shared" si="3"/>
        <v/>
      </c>
    </row>
    <row r="86" spans="1:12" x14ac:dyDescent="0.25">
      <c r="A86" t="s">
        <v>118</v>
      </c>
      <c r="B86" t="s">
        <v>32</v>
      </c>
      <c r="C86" t="s">
        <v>34</v>
      </c>
      <c r="D86" t="s">
        <v>35</v>
      </c>
      <c r="E86" s="2">
        <v>46187</v>
      </c>
      <c r="F86" s="2">
        <v>46191</v>
      </c>
      <c r="G86" s="2">
        <v>46197</v>
      </c>
      <c r="H86" s="2">
        <v>46203</v>
      </c>
      <c r="I86" t="s">
        <v>21</v>
      </c>
      <c r="J86" t="s">
        <v>17</v>
      </c>
      <c r="K86" s="1">
        <v>66000</v>
      </c>
      <c r="L86">
        <f t="shared" si="3"/>
        <v>16</v>
      </c>
    </row>
    <row r="87" spans="1:12" x14ac:dyDescent="0.25">
      <c r="A87" t="s">
        <v>119</v>
      </c>
      <c r="B87" t="s">
        <v>23</v>
      </c>
      <c r="C87" t="s">
        <v>28</v>
      </c>
      <c r="D87" t="s">
        <v>29</v>
      </c>
      <c r="E87" s="2">
        <v>46139</v>
      </c>
      <c r="F87" s="2">
        <v>46144</v>
      </c>
      <c r="G87" s="2">
        <v>46151</v>
      </c>
      <c r="H87" s="2">
        <v>46161</v>
      </c>
      <c r="I87" t="s">
        <v>16</v>
      </c>
      <c r="J87" t="s">
        <v>17</v>
      </c>
      <c r="K87" s="1">
        <v>69000</v>
      </c>
      <c r="L87">
        <f t="shared" si="3"/>
        <v>22</v>
      </c>
    </row>
    <row r="88" spans="1:12" x14ac:dyDescent="0.25">
      <c r="A88" t="s">
        <v>120</v>
      </c>
      <c r="B88" t="s">
        <v>19</v>
      </c>
      <c r="C88" t="s">
        <v>14</v>
      </c>
      <c r="D88" t="s">
        <v>15</v>
      </c>
      <c r="E88" s="2">
        <v>46234</v>
      </c>
      <c r="F88" s="2">
        <v>46242</v>
      </c>
      <c r="G88" s="2">
        <v>46249</v>
      </c>
      <c r="H88" s="2">
        <v>46257</v>
      </c>
      <c r="I88" t="s">
        <v>39</v>
      </c>
      <c r="J88" t="s">
        <v>17</v>
      </c>
      <c r="K88" s="1">
        <v>66000</v>
      </c>
      <c r="L88">
        <f t="shared" si="3"/>
        <v>23</v>
      </c>
    </row>
    <row r="89" spans="1:12" x14ac:dyDescent="0.25">
      <c r="A89" t="s">
        <v>121</v>
      </c>
      <c r="B89" t="s">
        <v>32</v>
      </c>
      <c r="C89" t="s">
        <v>24</v>
      </c>
      <c r="D89" t="s">
        <v>25</v>
      </c>
      <c r="E89" s="2">
        <v>46106</v>
      </c>
      <c r="F89" s="2">
        <v>46116</v>
      </c>
      <c r="G89" s="2"/>
      <c r="H89" s="2"/>
      <c r="I89" t="s">
        <v>16</v>
      </c>
      <c r="J89" t="s">
        <v>26</v>
      </c>
      <c r="K89" s="1"/>
      <c r="L89" t="str">
        <f t="shared" si="3"/>
        <v/>
      </c>
    </row>
    <row r="90" spans="1:12" x14ac:dyDescent="0.25">
      <c r="A90" t="s">
        <v>122</v>
      </c>
      <c r="B90" t="s">
        <v>32</v>
      </c>
      <c r="C90" t="s">
        <v>24</v>
      </c>
      <c r="D90" t="s">
        <v>25</v>
      </c>
      <c r="E90" s="2">
        <v>46201</v>
      </c>
      <c r="F90" s="2">
        <v>46207</v>
      </c>
      <c r="G90" s="2"/>
      <c r="H90" s="2"/>
      <c r="I90" t="s">
        <v>16</v>
      </c>
      <c r="J90" t="s">
        <v>26</v>
      </c>
      <c r="K90" s="1"/>
      <c r="L90" t="str">
        <f t="shared" si="3"/>
        <v/>
      </c>
    </row>
    <row r="91" spans="1:12" x14ac:dyDescent="0.25">
      <c r="A91" t="s">
        <v>123</v>
      </c>
      <c r="B91" t="s">
        <v>32</v>
      </c>
      <c r="C91" t="s">
        <v>28</v>
      </c>
      <c r="D91" t="s">
        <v>29</v>
      </c>
      <c r="E91" s="2">
        <v>46153</v>
      </c>
      <c r="F91" s="2">
        <v>46159</v>
      </c>
      <c r="G91" s="2">
        <v>46166</v>
      </c>
      <c r="H91" s="2">
        <v>46174</v>
      </c>
      <c r="I91" t="s">
        <v>21</v>
      </c>
      <c r="J91" t="s">
        <v>17</v>
      </c>
      <c r="K91" s="1">
        <v>65000</v>
      </c>
      <c r="L91">
        <f t="shared" si="3"/>
        <v>21</v>
      </c>
    </row>
    <row r="92" spans="1:12" x14ac:dyDescent="0.25">
      <c r="A92" t="s">
        <v>124</v>
      </c>
      <c r="B92" t="s">
        <v>23</v>
      </c>
      <c r="C92" t="s">
        <v>34</v>
      </c>
      <c r="D92" t="s">
        <v>35</v>
      </c>
      <c r="E92" s="2">
        <v>46153</v>
      </c>
      <c r="F92" s="2">
        <v>46163</v>
      </c>
      <c r="G92" s="2"/>
      <c r="H92" s="2"/>
      <c r="I92" t="s">
        <v>39</v>
      </c>
      <c r="J92" t="s">
        <v>26</v>
      </c>
      <c r="K92" s="1"/>
      <c r="L92" t="str">
        <f t="shared" si="3"/>
        <v/>
      </c>
    </row>
    <row r="93" spans="1:12" x14ac:dyDescent="0.25">
      <c r="A93" t="s">
        <v>125</v>
      </c>
      <c r="B93" t="s">
        <v>19</v>
      </c>
      <c r="C93" t="s">
        <v>28</v>
      </c>
      <c r="D93" t="s">
        <v>29</v>
      </c>
      <c r="E93" s="2">
        <v>46173</v>
      </c>
      <c r="F93" s="2">
        <v>46181</v>
      </c>
      <c r="G93" s="2"/>
      <c r="H93" s="2"/>
      <c r="I93" t="s">
        <v>16</v>
      </c>
      <c r="J93" t="s">
        <v>26</v>
      </c>
      <c r="K93" s="1"/>
      <c r="L93" t="str">
        <f t="shared" si="3"/>
        <v/>
      </c>
    </row>
    <row r="94" spans="1:12" x14ac:dyDescent="0.25">
      <c r="A94" t="s">
        <v>126</v>
      </c>
      <c r="B94" t="s">
        <v>13</v>
      </c>
      <c r="C94" t="s">
        <v>14</v>
      </c>
      <c r="D94" t="s">
        <v>15</v>
      </c>
      <c r="E94" s="2">
        <v>46198</v>
      </c>
      <c r="F94" s="2">
        <v>46205</v>
      </c>
      <c r="G94" s="2">
        <v>46210</v>
      </c>
      <c r="H94" s="2">
        <v>46215</v>
      </c>
      <c r="I94" t="s">
        <v>39</v>
      </c>
      <c r="J94" t="s">
        <v>17</v>
      </c>
      <c r="K94" s="1">
        <v>73000</v>
      </c>
      <c r="L94">
        <f t="shared" si="3"/>
        <v>17</v>
      </c>
    </row>
    <row r="95" spans="1:12" x14ac:dyDescent="0.25">
      <c r="A95" t="s">
        <v>127</v>
      </c>
      <c r="B95" t="s">
        <v>23</v>
      </c>
      <c r="C95" t="s">
        <v>20</v>
      </c>
      <c r="D95" t="s">
        <v>15</v>
      </c>
      <c r="E95" s="2">
        <v>46151</v>
      </c>
      <c r="F95" s="2">
        <v>46161</v>
      </c>
      <c r="G95" s="2">
        <v>46168</v>
      </c>
      <c r="H95" s="2">
        <v>46175</v>
      </c>
      <c r="I95" t="s">
        <v>39</v>
      </c>
      <c r="J95" t="s">
        <v>17</v>
      </c>
      <c r="K95" s="1">
        <v>81000</v>
      </c>
      <c r="L95">
        <f t="shared" si="3"/>
        <v>24</v>
      </c>
    </row>
    <row r="96" spans="1:12" x14ac:dyDescent="0.25">
      <c r="A96" t="s">
        <v>128</v>
      </c>
      <c r="B96" t="s">
        <v>13</v>
      </c>
      <c r="C96" t="s">
        <v>24</v>
      </c>
      <c r="D96" t="s">
        <v>25</v>
      </c>
      <c r="E96" s="2">
        <v>46118</v>
      </c>
      <c r="F96" s="2">
        <v>46122</v>
      </c>
      <c r="G96" s="2"/>
      <c r="H96" s="2"/>
      <c r="I96" t="s">
        <v>16</v>
      </c>
      <c r="J96" t="s">
        <v>26</v>
      </c>
      <c r="K96" s="1"/>
      <c r="L96" t="str">
        <f t="shared" si="3"/>
        <v/>
      </c>
    </row>
    <row r="97" spans="1:12" x14ac:dyDescent="0.25">
      <c r="A97" t="s">
        <v>129</v>
      </c>
      <c r="B97" t="s">
        <v>19</v>
      </c>
      <c r="C97" t="s">
        <v>34</v>
      </c>
      <c r="D97" t="s">
        <v>35</v>
      </c>
      <c r="E97" s="2">
        <v>46143</v>
      </c>
      <c r="F97" s="2">
        <v>46152</v>
      </c>
      <c r="G97" s="2"/>
      <c r="H97" s="2"/>
      <c r="I97" t="s">
        <v>16</v>
      </c>
      <c r="J97" t="s">
        <v>26</v>
      </c>
      <c r="K97" s="1"/>
      <c r="L97" t="str">
        <f t="shared" si="3"/>
        <v/>
      </c>
    </row>
    <row r="98" spans="1:12" x14ac:dyDescent="0.25">
      <c r="A98" t="s">
        <v>130</v>
      </c>
      <c r="B98" t="s">
        <v>13</v>
      </c>
      <c r="C98" t="s">
        <v>20</v>
      </c>
      <c r="D98" t="s">
        <v>15</v>
      </c>
      <c r="E98" s="2">
        <v>46064</v>
      </c>
      <c r="F98" s="2">
        <v>46072</v>
      </c>
      <c r="G98" s="2"/>
      <c r="H98" s="2"/>
      <c r="I98" t="s">
        <v>21</v>
      </c>
      <c r="J98" t="s">
        <v>26</v>
      </c>
      <c r="K98" s="1"/>
      <c r="L98" t="str">
        <f t="shared" si="3"/>
        <v/>
      </c>
    </row>
    <row r="99" spans="1:12" x14ac:dyDescent="0.25">
      <c r="A99" t="s">
        <v>131</v>
      </c>
      <c r="B99" t="s">
        <v>19</v>
      </c>
      <c r="C99" t="s">
        <v>20</v>
      </c>
      <c r="D99" t="s">
        <v>15</v>
      </c>
      <c r="E99" s="2">
        <v>46093</v>
      </c>
      <c r="F99" s="2">
        <v>46101</v>
      </c>
      <c r="G99" s="2"/>
      <c r="H99" s="2"/>
      <c r="I99" t="s">
        <v>39</v>
      </c>
      <c r="J99" t="s">
        <v>26</v>
      </c>
      <c r="K99" s="1"/>
      <c r="L99" t="str">
        <f t="shared" si="3"/>
        <v/>
      </c>
    </row>
    <row r="100" spans="1:12" x14ac:dyDescent="0.25">
      <c r="A100" t="s">
        <v>132</v>
      </c>
      <c r="B100" t="s">
        <v>32</v>
      </c>
      <c r="C100" t="s">
        <v>34</v>
      </c>
      <c r="D100" t="s">
        <v>35</v>
      </c>
      <c r="E100" s="2">
        <v>46109</v>
      </c>
      <c r="F100" s="2">
        <v>46114</v>
      </c>
      <c r="G100" s="2"/>
      <c r="H100" s="2"/>
      <c r="I100" t="s">
        <v>30</v>
      </c>
      <c r="J100" t="s">
        <v>26</v>
      </c>
      <c r="K100" s="1"/>
      <c r="L100" t="str">
        <f t="shared" si="3"/>
        <v/>
      </c>
    </row>
    <row r="101" spans="1:12" x14ac:dyDescent="0.25">
      <c r="A101" t="s">
        <v>133</v>
      </c>
      <c r="B101" t="s">
        <v>13</v>
      </c>
      <c r="C101" t="s">
        <v>50</v>
      </c>
      <c r="D101" t="s">
        <v>41</v>
      </c>
      <c r="E101" s="2">
        <v>46209</v>
      </c>
      <c r="F101" s="2">
        <v>46213</v>
      </c>
      <c r="G101" s="2"/>
      <c r="H101" s="2"/>
      <c r="I101" t="s">
        <v>21</v>
      </c>
      <c r="J101" t="s">
        <v>26</v>
      </c>
      <c r="K101" s="1"/>
      <c r="L101" t="str">
        <f t="shared" si="3"/>
        <v/>
      </c>
    </row>
    <row r="102" spans="1:12" x14ac:dyDescent="0.25">
      <c r="A102" t="s">
        <v>134</v>
      </c>
      <c r="B102" t="s">
        <v>13</v>
      </c>
      <c r="C102" t="s">
        <v>37</v>
      </c>
      <c r="D102" t="s">
        <v>15</v>
      </c>
      <c r="E102" s="2">
        <v>46202</v>
      </c>
      <c r="F102" s="2">
        <v>46211</v>
      </c>
      <c r="G102" s="2">
        <v>46216</v>
      </c>
      <c r="H102" s="2">
        <v>46221</v>
      </c>
      <c r="I102" t="s">
        <v>39</v>
      </c>
      <c r="J102" t="s">
        <v>17</v>
      </c>
      <c r="K102" s="1">
        <v>93000</v>
      </c>
      <c r="L102">
        <f t="shared" si="3"/>
        <v>19</v>
      </c>
    </row>
    <row r="103" spans="1:12" x14ac:dyDescent="0.25">
      <c r="A103" t="s">
        <v>135</v>
      </c>
      <c r="B103" t="s">
        <v>19</v>
      </c>
      <c r="C103" t="s">
        <v>14</v>
      </c>
      <c r="D103" t="s">
        <v>15</v>
      </c>
      <c r="E103" s="2">
        <v>46230</v>
      </c>
      <c r="F103" s="2">
        <v>46238</v>
      </c>
      <c r="G103" s="2"/>
      <c r="H103" s="2"/>
      <c r="I103" t="s">
        <v>30</v>
      </c>
      <c r="J103" t="s">
        <v>26</v>
      </c>
      <c r="K103" s="1"/>
      <c r="L103" t="str">
        <f t="shared" si="3"/>
        <v/>
      </c>
    </row>
    <row r="104" spans="1:12" x14ac:dyDescent="0.25">
      <c r="A104" t="s">
        <v>136</v>
      </c>
      <c r="B104" t="s">
        <v>13</v>
      </c>
      <c r="C104" t="s">
        <v>37</v>
      </c>
      <c r="D104" t="s">
        <v>15</v>
      </c>
      <c r="E104" s="2">
        <v>46084</v>
      </c>
      <c r="F104" s="2">
        <v>46088</v>
      </c>
      <c r="G104" s="2"/>
      <c r="H104" s="2"/>
      <c r="I104" t="s">
        <v>39</v>
      </c>
      <c r="J104" t="s">
        <v>26</v>
      </c>
      <c r="K104" s="1"/>
      <c r="L104" t="str">
        <f t="shared" si="3"/>
        <v/>
      </c>
    </row>
    <row r="105" spans="1:12" x14ac:dyDescent="0.25">
      <c r="A105" t="s">
        <v>137</v>
      </c>
      <c r="B105" t="s">
        <v>23</v>
      </c>
      <c r="C105" t="s">
        <v>14</v>
      </c>
      <c r="D105" t="s">
        <v>15</v>
      </c>
      <c r="E105" s="2">
        <v>46183</v>
      </c>
      <c r="F105" s="2">
        <v>46187</v>
      </c>
      <c r="G105" s="2"/>
      <c r="H105" s="2"/>
      <c r="I105" t="s">
        <v>39</v>
      </c>
      <c r="J105" t="s">
        <v>26</v>
      </c>
      <c r="K105" s="1"/>
      <c r="L105" t="str">
        <f t="shared" si="3"/>
        <v/>
      </c>
    </row>
    <row r="106" spans="1:12" x14ac:dyDescent="0.25">
      <c r="A106" t="s">
        <v>138</v>
      </c>
      <c r="B106" t="s">
        <v>23</v>
      </c>
      <c r="C106" t="s">
        <v>34</v>
      </c>
      <c r="D106" t="s">
        <v>35</v>
      </c>
      <c r="E106" s="2">
        <v>46164</v>
      </c>
      <c r="F106" s="2">
        <v>46171</v>
      </c>
      <c r="G106" s="2"/>
      <c r="H106" s="2"/>
      <c r="I106" t="s">
        <v>39</v>
      </c>
      <c r="J106" t="s">
        <v>26</v>
      </c>
      <c r="K106" s="1"/>
      <c r="L106" t="str">
        <f t="shared" si="3"/>
        <v/>
      </c>
    </row>
    <row r="107" spans="1:12" x14ac:dyDescent="0.25">
      <c r="A107" t="s">
        <v>139</v>
      </c>
      <c r="B107" t="s">
        <v>23</v>
      </c>
      <c r="C107" t="s">
        <v>28</v>
      </c>
      <c r="D107" t="s">
        <v>29</v>
      </c>
      <c r="E107" s="2">
        <v>46099</v>
      </c>
      <c r="F107" s="2">
        <v>46109</v>
      </c>
      <c r="G107" s="2">
        <v>46117</v>
      </c>
      <c r="H107" s="2">
        <v>46124</v>
      </c>
      <c r="I107" t="s">
        <v>39</v>
      </c>
      <c r="J107" t="s">
        <v>17</v>
      </c>
      <c r="K107" s="1">
        <v>75000</v>
      </c>
      <c r="L107">
        <f t="shared" si="3"/>
        <v>25</v>
      </c>
    </row>
    <row r="108" spans="1:12" x14ac:dyDescent="0.25">
      <c r="A108" t="s">
        <v>140</v>
      </c>
      <c r="B108" t="s">
        <v>13</v>
      </c>
      <c r="C108" t="s">
        <v>37</v>
      </c>
      <c r="D108" t="s">
        <v>15</v>
      </c>
      <c r="E108" s="2">
        <v>46116</v>
      </c>
      <c r="F108" s="2">
        <v>46123</v>
      </c>
      <c r="G108" s="2">
        <v>46131</v>
      </c>
      <c r="H108" s="2">
        <v>46140</v>
      </c>
      <c r="I108" t="s">
        <v>39</v>
      </c>
      <c r="J108" t="s">
        <v>17</v>
      </c>
      <c r="K108" s="1">
        <v>87000</v>
      </c>
      <c r="L108">
        <f t="shared" ref="L108:L139" si="4">IF(H108="","",H108-E108)</f>
        <v>24</v>
      </c>
    </row>
    <row r="109" spans="1:12" x14ac:dyDescent="0.25">
      <c r="A109" t="s">
        <v>141</v>
      </c>
      <c r="B109" t="s">
        <v>13</v>
      </c>
      <c r="C109" t="s">
        <v>24</v>
      </c>
      <c r="D109" t="s">
        <v>25</v>
      </c>
      <c r="E109" s="2">
        <v>46140</v>
      </c>
      <c r="F109" s="2">
        <v>46145</v>
      </c>
      <c r="G109" s="2">
        <v>46151</v>
      </c>
      <c r="H109" s="2">
        <v>46158</v>
      </c>
      <c r="I109" t="s">
        <v>30</v>
      </c>
      <c r="J109" t="s">
        <v>17</v>
      </c>
      <c r="K109" s="1">
        <v>88000</v>
      </c>
      <c r="L109">
        <f t="shared" si="4"/>
        <v>18</v>
      </c>
    </row>
    <row r="110" spans="1:12" x14ac:dyDescent="0.25">
      <c r="A110" t="s">
        <v>142</v>
      </c>
      <c r="B110" t="s">
        <v>23</v>
      </c>
      <c r="C110" t="s">
        <v>28</v>
      </c>
      <c r="D110" t="s">
        <v>29</v>
      </c>
      <c r="E110" s="2">
        <v>46125</v>
      </c>
      <c r="F110" s="2">
        <v>46130</v>
      </c>
      <c r="G110" s="2">
        <v>46134</v>
      </c>
      <c r="H110" s="2">
        <v>46140</v>
      </c>
      <c r="I110" t="s">
        <v>16</v>
      </c>
      <c r="J110" t="s">
        <v>17</v>
      </c>
      <c r="K110" s="1">
        <v>78000</v>
      </c>
      <c r="L110">
        <f t="shared" si="4"/>
        <v>15</v>
      </c>
    </row>
    <row r="111" spans="1:12" x14ac:dyDescent="0.25">
      <c r="A111" t="s">
        <v>143</v>
      </c>
      <c r="B111" t="s">
        <v>19</v>
      </c>
      <c r="C111" t="s">
        <v>34</v>
      </c>
      <c r="D111" t="s">
        <v>35</v>
      </c>
      <c r="E111" s="2">
        <v>46179</v>
      </c>
      <c r="F111" s="2">
        <v>46186</v>
      </c>
      <c r="G111" s="2"/>
      <c r="H111" s="2"/>
      <c r="I111" t="s">
        <v>39</v>
      </c>
      <c r="J111" t="s">
        <v>26</v>
      </c>
      <c r="K111" s="1"/>
      <c r="L111" t="str">
        <f t="shared" si="4"/>
        <v/>
      </c>
    </row>
    <row r="112" spans="1:12" x14ac:dyDescent="0.25">
      <c r="A112" t="s">
        <v>144</v>
      </c>
      <c r="B112" t="s">
        <v>13</v>
      </c>
      <c r="C112" t="s">
        <v>14</v>
      </c>
      <c r="D112" t="s">
        <v>15</v>
      </c>
      <c r="E112" s="2">
        <v>46168</v>
      </c>
      <c r="F112" s="2">
        <v>46177</v>
      </c>
      <c r="G112" s="2">
        <v>46182</v>
      </c>
      <c r="H112" s="2">
        <v>46189</v>
      </c>
      <c r="I112" t="s">
        <v>30</v>
      </c>
      <c r="J112" t="s">
        <v>17</v>
      </c>
      <c r="K112" s="1">
        <v>83000</v>
      </c>
      <c r="L112">
        <f t="shared" si="4"/>
        <v>21</v>
      </c>
    </row>
    <row r="113" spans="1:12" x14ac:dyDescent="0.25">
      <c r="A113" t="s">
        <v>145</v>
      </c>
      <c r="B113" t="s">
        <v>32</v>
      </c>
      <c r="C113" t="s">
        <v>28</v>
      </c>
      <c r="D113" t="s">
        <v>29</v>
      </c>
      <c r="E113" s="2">
        <v>46148</v>
      </c>
      <c r="F113" s="2">
        <v>46157</v>
      </c>
      <c r="G113" s="2">
        <v>46165</v>
      </c>
      <c r="H113" s="2">
        <v>46172</v>
      </c>
      <c r="I113" t="s">
        <v>30</v>
      </c>
      <c r="J113" t="s">
        <v>17</v>
      </c>
      <c r="K113" s="1">
        <v>76000</v>
      </c>
      <c r="L113">
        <f t="shared" si="4"/>
        <v>24</v>
      </c>
    </row>
    <row r="114" spans="1:12" x14ac:dyDescent="0.25">
      <c r="A114" t="s">
        <v>146</v>
      </c>
      <c r="B114" t="s">
        <v>32</v>
      </c>
      <c r="C114" t="s">
        <v>37</v>
      </c>
      <c r="D114" t="s">
        <v>15</v>
      </c>
      <c r="E114" s="2">
        <v>46233</v>
      </c>
      <c r="F114" s="2">
        <v>46237</v>
      </c>
      <c r="G114" s="2">
        <v>46242</v>
      </c>
      <c r="H114" s="2">
        <v>46249</v>
      </c>
      <c r="I114" t="s">
        <v>30</v>
      </c>
      <c r="J114" t="s">
        <v>17</v>
      </c>
      <c r="K114" s="1">
        <v>78000</v>
      </c>
      <c r="L114">
        <f t="shared" si="4"/>
        <v>16</v>
      </c>
    </row>
    <row r="115" spans="1:12" x14ac:dyDescent="0.25">
      <c r="A115" t="s">
        <v>147</v>
      </c>
      <c r="B115" t="s">
        <v>19</v>
      </c>
      <c r="C115" t="s">
        <v>20</v>
      </c>
      <c r="D115" t="s">
        <v>15</v>
      </c>
      <c r="E115" s="2">
        <v>46191</v>
      </c>
      <c r="F115" s="2">
        <v>46197</v>
      </c>
      <c r="G115" s="2"/>
      <c r="H115" s="2"/>
      <c r="I115" t="s">
        <v>21</v>
      </c>
      <c r="J115" t="s">
        <v>26</v>
      </c>
      <c r="K115" s="1"/>
      <c r="L115" t="str">
        <f t="shared" si="4"/>
        <v/>
      </c>
    </row>
    <row r="116" spans="1:12" x14ac:dyDescent="0.25">
      <c r="A116" t="s">
        <v>148</v>
      </c>
      <c r="B116" t="s">
        <v>23</v>
      </c>
      <c r="C116" t="s">
        <v>14</v>
      </c>
      <c r="D116" t="s">
        <v>15</v>
      </c>
      <c r="E116" s="2">
        <v>46204</v>
      </c>
      <c r="F116" s="2">
        <v>46210</v>
      </c>
      <c r="G116" s="2">
        <v>46215</v>
      </c>
      <c r="H116" s="2">
        <v>46222</v>
      </c>
      <c r="I116" t="s">
        <v>21</v>
      </c>
      <c r="J116" t="s">
        <v>17</v>
      </c>
      <c r="K116" s="1">
        <v>65000</v>
      </c>
      <c r="L116">
        <f t="shared" si="4"/>
        <v>18</v>
      </c>
    </row>
    <row r="117" spans="1:12" x14ac:dyDescent="0.25">
      <c r="A117" t="s">
        <v>149</v>
      </c>
      <c r="B117" t="s">
        <v>19</v>
      </c>
      <c r="C117" t="s">
        <v>37</v>
      </c>
      <c r="D117" t="s">
        <v>15</v>
      </c>
      <c r="E117" s="2">
        <v>46190</v>
      </c>
      <c r="F117" s="2">
        <v>46198</v>
      </c>
      <c r="G117" s="2"/>
      <c r="H117" s="2"/>
      <c r="I117" t="s">
        <v>16</v>
      </c>
      <c r="J117" t="s">
        <v>26</v>
      </c>
      <c r="K117" s="1"/>
      <c r="L117" t="str">
        <f t="shared" si="4"/>
        <v/>
      </c>
    </row>
    <row r="118" spans="1:12" x14ac:dyDescent="0.25">
      <c r="A118" t="s">
        <v>150</v>
      </c>
      <c r="B118" t="s">
        <v>19</v>
      </c>
      <c r="C118" t="s">
        <v>34</v>
      </c>
      <c r="D118" t="s">
        <v>35</v>
      </c>
      <c r="E118" s="2">
        <v>46128</v>
      </c>
      <c r="F118" s="2">
        <v>46132</v>
      </c>
      <c r="G118" s="2">
        <v>46140</v>
      </c>
      <c r="H118" s="2">
        <v>46147</v>
      </c>
      <c r="I118" t="s">
        <v>39</v>
      </c>
      <c r="J118" t="s">
        <v>17</v>
      </c>
      <c r="K118" s="1">
        <v>73000</v>
      </c>
      <c r="L118">
        <f t="shared" si="4"/>
        <v>19</v>
      </c>
    </row>
    <row r="119" spans="1:12" x14ac:dyDescent="0.25">
      <c r="A119" t="s">
        <v>151</v>
      </c>
      <c r="B119" t="s">
        <v>32</v>
      </c>
      <c r="C119" t="s">
        <v>37</v>
      </c>
      <c r="D119" t="s">
        <v>15</v>
      </c>
      <c r="E119" s="2">
        <v>46176</v>
      </c>
      <c r="F119" s="2">
        <v>46182</v>
      </c>
      <c r="G119" s="2"/>
      <c r="H119" s="2"/>
      <c r="I119" t="s">
        <v>21</v>
      </c>
      <c r="J119" t="s">
        <v>26</v>
      </c>
      <c r="K119" s="1"/>
      <c r="L119" t="str">
        <f t="shared" si="4"/>
        <v/>
      </c>
    </row>
    <row r="120" spans="1:12" x14ac:dyDescent="0.25">
      <c r="A120" t="s">
        <v>152</v>
      </c>
      <c r="B120" t="s">
        <v>13</v>
      </c>
      <c r="C120" t="s">
        <v>50</v>
      </c>
      <c r="D120" t="s">
        <v>41</v>
      </c>
      <c r="E120" s="2">
        <v>46176</v>
      </c>
      <c r="F120" s="2">
        <v>46180</v>
      </c>
      <c r="G120" s="2">
        <v>46188</v>
      </c>
      <c r="H120" s="2">
        <v>46198</v>
      </c>
      <c r="I120" t="s">
        <v>16</v>
      </c>
      <c r="J120" t="s">
        <v>17</v>
      </c>
      <c r="K120" s="1">
        <v>63000</v>
      </c>
      <c r="L120">
        <f t="shared" si="4"/>
        <v>22</v>
      </c>
    </row>
    <row r="121" spans="1:12" x14ac:dyDescent="0.25">
      <c r="A121" t="s">
        <v>153</v>
      </c>
      <c r="B121" t="s">
        <v>19</v>
      </c>
      <c r="C121" t="s">
        <v>50</v>
      </c>
      <c r="D121" t="s">
        <v>41</v>
      </c>
      <c r="E121" s="2">
        <v>46092</v>
      </c>
      <c r="F121" s="2">
        <v>46097</v>
      </c>
      <c r="G121" s="2">
        <v>46101</v>
      </c>
      <c r="H121" s="2">
        <v>46110</v>
      </c>
      <c r="I121" t="s">
        <v>30</v>
      </c>
      <c r="J121" t="s">
        <v>17</v>
      </c>
      <c r="K121" s="1">
        <v>75000</v>
      </c>
      <c r="L121">
        <f t="shared" si="4"/>
        <v>18</v>
      </c>
    </row>
    <row r="122" spans="1:12" x14ac:dyDescent="0.25">
      <c r="A122" t="s">
        <v>154</v>
      </c>
      <c r="B122" t="s">
        <v>19</v>
      </c>
      <c r="C122" t="s">
        <v>50</v>
      </c>
      <c r="D122" t="s">
        <v>41</v>
      </c>
      <c r="E122" s="2">
        <v>46209</v>
      </c>
      <c r="F122" s="2">
        <v>46216</v>
      </c>
      <c r="G122" s="2">
        <v>46222</v>
      </c>
      <c r="H122" s="2">
        <v>46231</v>
      </c>
      <c r="I122" t="s">
        <v>39</v>
      </c>
      <c r="J122" t="s">
        <v>17</v>
      </c>
      <c r="K122" s="1">
        <v>75000</v>
      </c>
      <c r="L122">
        <f t="shared" si="4"/>
        <v>22</v>
      </c>
    </row>
    <row r="123" spans="1:12" x14ac:dyDescent="0.25">
      <c r="A123" t="s">
        <v>155</v>
      </c>
      <c r="B123" t="s">
        <v>13</v>
      </c>
      <c r="C123" t="s">
        <v>28</v>
      </c>
      <c r="D123" t="s">
        <v>29</v>
      </c>
      <c r="E123" s="2">
        <v>46132</v>
      </c>
      <c r="F123" s="2">
        <v>46137</v>
      </c>
      <c r="G123" s="2"/>
      <c r="H123" s="2"/>
      <c r="I123" t="s">
        <v>16</v>
      </c>
      <c r="J123" t="s">
        <v>26</v>
      </c>
      <c r="K123" s="1"/>
      <c r="L123" t="str">
        <f t="shared" si="4"/>
        <v/>
      </c>
    </row>
    <row r="124" spans="1:12" x14ac:dyDescent="0.25">
      <c r="A124" t="s">
        <v>156</v>
      </c>
      <c r="B124" t="s">
        <v>19</v>
      </c>
      <c r="C124" t="s">
        <v>37</v>
      </c>
      <c r="D124" t="s">
        <v>15</v>
      </c>
      <c r="E124" s="2">
        <v>46214</v>
      </c>
      <c r="F124" s="2">
        <v>46219</v>
      </c>
      <c r="G124" s="2">
        <v>46227</v>
      </c>
      <c r="H124" s="2">
        <v>46232</v>
      </c>
      <c r="I124" t="s">
        <v>16</v>
      </c>
      <c r="J124" t="s">
        <v>17</v>
      </c>
      <c r="K124" s="1">
        <v>80000</v>
      </c>
      <c r="L124">
        <f t="shared" si="4"/>
        <v>18</v>
      </c>
    </row>
    <row r="125" spans="1:12" x14ac:dyDescent="0.25">
      <c r="A125" t="s">
        <v>157</v>
      </c>
      <c r="B125" t="s">
        <v>32</v>
      </c>
      <c r="C125" t="s">
        <v>24</v>
      </c>
      <c r="D125" t="s">
        <v>25</v>
      </c>
      <c r="E125" s="2">
        <v>46054</v>
      </c>
      <c r="F125" s="2">
        <v>46059</v>
      </c>
      <c r="G125" s="2">
        <v>46065</v>
      </c>
      <c r="H125" s="2">
        <v>46075</v>
      </c>
      <c r="I125" t="s">
        <v>39</v>
      </c>
      <c r="J125" t="s">
        <v>17</v>
      </c>
      <c r="K125" s="1">
        <v>87000</v>
      </c>
      <c r="L125">
        <f t="shared" si="4"/>
        <v>21</v>
      </c>
    </row>
    <row r="126" spans="1:12" x14ac:dyDescent="0.25">
      <c r="A126" t="s">
        <v>158</v>
      </c>
      <c r="B126" t="s">
        <v>32</v>
      </c>
      <c r="C126" t="s">
        <v>14</v>
      </c>
      <c r="D126" t="s">
        <v>15</v>
      </c>
      <c r="E126" s="2">
        <v>46233</v>
      </c>
      <c r="F126" s="2">
        <v>46243</v>
      </c>
      <c r="G126" s="2"/>
      <c r="H126" s="2"/>
      <c r="I126" t="s">
        <v>21</v>
      </c>
      <c r="J126" t="s">
        <v>26</v>
      </c>
      <c r="K126" s="1"/>
      <c r="L126" t="str">
        <f t="shared" si="4"/>
        <v/>
      </c>
    </row>
    <row r="127" spans="1:12" x14ac:dyDescent="0.25">
      <c r="A127" t="s">
        <v>159</v>
      </c>
      <c r="B127" t="s">
        <v>19</v>
      </c>
      <c r="C127" t="s">
        <v>24</v>
      </c>
      <c r="D127" t="s">
        <v>25</v>
      </c>
      <c r="E127" s="2">
        <v>46214</v>
      </c>
      <c r="F127" s="2">
        <v>46223</v>
      </c>
      <c r="G127" s="2">
        <v>46228</v>
      </c>
      <c r="H127" s="2">
        <v>46235</v>
      </c>
      <c r="I127" t="s">
        <v>16</v>
      </c>
      <c r="J127" t="s">
        <v>17</v>
      </c>
      <c r="K127" s="1">
        <v>82000</v>
      </c>
      <c r="L127">
        <f t="shared" si="4"/>
        <v>21</v>
      </c>
    </row>
    <row r="128" spans="1:12" x14ac:dyDescent="0.25">
      <c r="A128" t="s">
        <v>160</v>
      </c>
      <c r="B128" t="s">
        <v>13</v>
      </c>
      <c r="C128" t="s">
        <v>20</v>
      </c>
      <c r="D128" t="s">
        <v>15</v>
      </c>
      <c r="E128" s="2">
        <v>46072</v>
      </c>
      <c r="F128" s="2">
        <v>46082</v>
      </c>
      <c r="G128" s="2"/>
      <c r="H128" s="2"/>
      <c r="I128" t="s">
        <v>30</v>
      </c>
      <c r="J128" t="s">
        <v>26</v>
      </c>
      <c r="K128" s="1"/>
      <c r="L128" t="str">
        <f t="shared" si="4"/>
        <v/>
      </c>
    </row>
    <row r="129" spans="1:12" x14ac:dyDescent="0.25">
      <c r="A129" t="s">
        <v>161</v>
      </c>
      <c r="B129" t="s">
        <v>23</v>
      </c>
      <c r="C129" t="s">
        <v>24</v>
      </c>
      <c r="D129" t="s">
        <v>25</v>
      </c>
      <c r="E129" s="2">
        <v>46199</v>
      </c>
      <c r="F129" s="2">
        <v>46205</v>
      </c>
      <c r="G129" s="2">
        <v>46212</v>
      </c>
      <c r="H129" s="2">
        <v>46219</v>
      </c>
      <c r="I129" t="s">
        <v>16</v>
      </c>
      <c r="J129" t="s">
        <v>17</v>
      </c>
      <c r="K129" s="1">
        <v>94000</v>
      </c>
      <c r="L129">
        <f t="shared" si="4"/>
        <v>20</v>
      </c>
    </row>
    <row r="130" spans="1:12" x14ac:dyDescent="0.25">
      <c r="A130" t="s">
        <v>162</v>
      </c>
      <c r="B130" t="s">
        <v>32</v>
      </c>
      <c r="C130" t="s">
        <v>24</v>
      </c>
      <c r="D130" t="s">
        <v>25</v>
      </c>
      <c r="E130" s="2">
        <v>46192</v>
      </c>
      <c r="F130" s="2">
        <v>46199</v>
      </c>
      <c r="G130" s="2"/>
      <c r="H130" s="2"/>
      <c r="I130" t="s">
        <v>16</v>
      </c>
      <c r="J130" t="s">
        <v>26</v>
      </c>
      <c r="K130" s="1"/>
      <c r="L130" t="str">
        <f t="shared" si="4"/>
        <v/>
      </c>
    </row>
    <row r="131" spans="1:12" x14ac:dyDescent="0.25">
      <c r="A131" t="s">
        <v>163</v>
      </c>
      <c r="B131" t="s">
        <v>23</v>
      </c>
      <c r="C131" t="s">
        <v>14</v>
      </c>
      <c r="D131" t="s">
        <v>15</v>
      </c>
      <c r="E131" s="2">
        <v>46136</v>
      </c>
      <c r="F131" s="2">
        <v>46145</v>
      </c>
      <c r="G131" s="2">
        <v>46153</v>
      </c>
      <c r="H131" s="2">
        <v>46162</v>
      </c>
      <c r="I131" t="s">
        <v>16</v>
      </c>
      <c r="J131" t="s">
        <v>17</v>
      </c>
      <c r="K131" s="1">
        <v>65000</v>
      </c>
      <c r="L131">
        <f t="shared" si="4"/>
        <v>26</v>
      </c>
    </row>
    <row r="132" spans="1:12" x14ac:dyDescent="0.25">
      <c r="A132" t="s">
        <v>164</v>
      </c>
      <c r="B132" t="s">
        <v>23</v>
      </c>
      <c r="C132" t="s">
        <v>28</v>
      </c>
      <c r="D132" t="s">
        <v>29</v>
      </c>
      <c r="E132" s="2">
        <v>46226</v>
      </c>
      <c r="F132" s="2">
        <v>46231</v>
      </c>
      <c r="G132" s="2"/>
      <c r="H132" s="2"/>
      <c r="I132" t="s">
        <v>16</v>
      </c>
      <c r="J132" t="s">
        <v>26</v>
      </c>
      <c r="K132" s="1"/>
      <c r="L132" t="str">
        <f t="shared" si="4"/>
        <v/>
      </c>
    </row>
    <row r="133" spans="1:12" x14ac:dyDescent="0.25">
      <c r="A133" t="s">
        <v>165</v>
      </c>
      <c r="B133" t="s">
        <v>32</v>
      </c>
      <c r="C133" t="s">
        <v>37</v>
      </c>
      <c r="D133" t="s">
        <v>15</v>
      </c>
      <c r="E133" s="2">
        <v>46174</v>
      </c>
      <c r="F133" s="2">
        <v>46181</v>
      </c>
      <c r="G133" s="2"/>
      <c r="H133" s="2"/>
      <c r="I133" t="s">
        <v>21</v>
      </c>
      <c r="J133" t="s">
        <v>26</v>
      </c>
      <c r="K133" s="1"/>
      <c r="L133" t="str">
        <f t="shared" si="4"/>
        <v/>
      </c>
    </row>
    <row r="134" spans="1:12" x14ac:dyDescent="0.25">
      <c r="A134" t="s">
        <v>166</v>
      </c>
      <c r="B134" t="s">
        <v>32</v>
      </c>
      <c r="C134" t="s">
        <v>14</v>
      </c>
      <c r="D134" t="s">
        <v>15</v>
      </c>
      <c r="E134" s="2">
        <v>46216</v>
      </c>
      <c r="F134" s="2">
        <v>46222</v>
      </c>
      <c r="G134" s="2">
        <v>46228</v>
      </c>
      <c r="H134" s="2">
        <v>46238</v>
      </c>
      <c r="I134" t="s">
        <v>39</v>
      </c>
      <c r="J134" t="s">
        <v>17</v>
      </c>
      <c r="K134" s="1">
        <v>68000</v>
      </c>
      <c r="L134">
        <f t="shared" si="4"/>
        <v>22</v>
      </c>
    </row>
    <row r="135" spans="1:12" x14ac:dyDescent="0.25">
      <c r="A135" t="s">
        <v>167</v>
      </c>
      <c r="B135" t="s">
        <v>23</v>
      </c>
      <c r="C135" t="s">
        <v>24</v>
      </c>
      <c r="D135" t="s">
        <v>25</v>
      </c>
      <c r="E135" s="2">
        <v>46095</v>
      </c>
      <c r="F135" s="2">
        <v>46102</v>
      </c>
      <c r="G135" s="2">
        <v>46110</v>
      </c>
      <c r="H135" s="2">
        <v>46115</v>
      </c>
      <c r="I135" t="s">
        <v>39</v>
      </c>
      <c r="J135" t="s">
        <v>17</v>
      </c>
      <c r="K135" s="1">
        <v>92000</v>
      </c>
      <c r="L135">
        <f t="shared" si="4"/>
        <v>20</v>
      </c>
    </row>
    <row r="136" spans="1:12" x14ac:dyDescent="0.25">
      <c r="A136" t="s">
        <v>168</v>
      </c>
      <c r="B136" t="s">
        <v>23</v>
      </c>
      <c r="C136" t="s">
        <v>37</v>
      </c>
      <c r="D136" t="s">
        <v>15</v>
      </c>
      <c r="E136" s="2">
        <v>46076</v>
      </c>
      <c r="F136" s="2">
        <v>46086</v>
      </c>
      <c r="G136" s="2">
        <v>46093</v>
      </c>
      <c r="H136" s="2">
        <v>46102</v>
      </c>
      <c r="I136" t="s">
        <v>30</v>
      </c>
      <c r="J136" t="s">
        <v>17</v>
      </c>
      <c r="K136" s="1">
        <v>75000</v>
      </c>
      <c r="L136">
        <f t="shared" si="4"/>
        <v>26</v>
      </c>
    </row>
    <row r="137" spans="1:12" x14ac:dyDescent="0.25">
      <c r="A137" t="s">
        <v>169</v>
      </c>
      <c r="B137" t="s">
        <v>32</v>
      </c>
      <c r="C137" t="s">
        <v>24</v>
      </c>
      <c r="D137" t="s">
        <v>25</v>
      </c>
      <c r="E137" s="2">
        <v>46222</v>
      </c>
      <c r="F137" s="2">
        <v>46228</v>
      </c>
      <c r="G137" s="2">
        <v>46236</v>
      </c>
      <c r="H137" s="2">
        <v>46244</v>
      </c>
      <c r="I137" t="s">
        <v>16</v>
      </c>
      <c r="J137" t="s">
        <v>17</v>
      </c>
      <c r="K137" s="1">
        <v>98000</v>
      </c>
      <c r="L137">
        <f t="shared" si="4"/>
        <v>22</v>
      </c>
    </row>
    <row r="138" spans="1:12" x14ac:dyDescent="0.25">
      <c r="A138" t="s">
        <v>170</v>
      </c>
      <c r="B138" t="s">
        <v>13</v>
      </c>
      <c r="C138" t="s">
        <v>20</v>
      </c>
      <c r="D138" t="s">
        <v>15</v>
      </c>
      <c r="E138" s="2">
        <v>46167</v>
      </c>
      <c r="F138" s="2">
        <v>46173</v>
      </c>
      <c r="G138" s="2">
        <v>46180</v>
      </c>
      <c r="H138" s="2">
        <v>46190</v>
      </c>
      <c r="I138" t="s">
        <v>30</v>
      </c>
      <c r="J138" t="s">
        <v>17</v>
      </c>
      <c r="K138" s="1">
        <v>83000</v>
      </c>
      <c r="L138">
        <f t="shared" si="4"/>
        <v>23</v>
      </c>
    </row>
    <row r="139" spans="1:12" x14ac:dyDescent="0.25">
      <c r="A139" t="s">
        <v>171</v>
      </c>
      <c r="B139" t="s">
        <v>13</v>
      </c>
      <c r="C139" t="s">
        <v>34</v>
      </c>
      <c r="D139" t="s">
        <v>35</v>
      </c>
      <c r="E139" s="2">
        <v>46085</v>
      </c>
      <c r="F139" s="2">
        <v>46091</v>
      </c>
      <c r="G139" s="2"/>
      <c r="H139" s="2"/>
      <c r="I139" t="s">
        <v>21</v>
      </c>
      <c r="J139" t="s">
        <v>26</v>
      </c>
      <c r="K139" s="1"/>
      <c r="L139" t="str">
        <f t="shared" si="4"/>
        <v/>
      </c>
    </row>
    <row r="140" spans="1:12" x14ac:dyDescent="0.25">
      <c r="A140" t="s">
        <v>172</v>
      </c>
      <c r="B140" t="s">
        <v>13</v>
      </c>
      <c r="C140" t="s">
        <v>28</v>
      </c>
      <c r="D140" t="s">
        <v>29</v>
      </c>
      <c r="E140" s="2">
        <v>46195</v>
      </c>
      <c r="F140" s="2">
        <v>46205</v>
      </c>
      <c r="G140" s="2">
        <v>46209</v>
      </c>
      <c r="H140" s="2">
        <v>46217</v>
      </c>
      <c r="I140" t="s">
        <v>39</v>
      </c>
      <c r="J140" t="s">
        <v>17</v>
      </c>
      <c r="K140" s="1">
        <v>68000</v>
      </c>
      <c r="L140">
        <f t="shared" ref="L140:L151" si="5">IF(H140="","",H140-E140)</f>
        <v>22</v>
      </c>
    </row>
    <row r="141" spans="1:12" x14ac:dyDescent="0.25">
      <c r="A141" t="s">
        <v>173</v>
      </c>
      <c r="B141" t="s">
        <v>19</v>
      </c>
      <c r="C141" t="s">
        <v>24</v>
      </c>
      <c r="D141" t="s">
        <v>25</v>
      </c>
      <c r="E141" s="2">
        <v>46219</v>
      </c>
      <c r="F141" s="2">
        <v>46225</v>
      </c>
      <c r="G141" s="2">
        <v>46232</v>
      </c>
      <c r="H141" s="2">
        <v>46240</v>
      </c>
      <c r="I141" t="s">
        <v>30</v>
      </c>
      <c r="J141" t="s">
        <v>17</v>
      </c>
      <c r="K141" s="1">
        <v>93000</v>
      </c>
      <c r="L141">
        <f t="shared" si="5"/>
        <v>21</v>
      </c>
    </row>
    <row r="142" spans="1:12" x14ac:dyDescent="0.25">
      <c r="A142" t="s">
        <v>174</v>
      </c>
      <c r="B142" t="s">
        <v>32</v>
      </c>
      <c r="C142" t="s">
        <v>28</v>
      </c>
      <c r="D142" t="s">
        <v>29</v>
      </c>
      <c r="E142" s="2">
        <v>46116</v>
      </c>
      <c r="F142" s="2">
        <v>46124</v>
      </c>
      <c r="G142" s="2">
        <v>46132</v>
      </c>
      <c r="H142" s="2">
        <v>46142</v>
      </c>
      <c r="I142" t="s">
        <v>21</v>
      </c>
      <c r="J142" t="s">
        <v>17</v>
      </c>
      <c r="K142" s="1">
        <v>69000</v>
      </c>
      <c r="L142">
        <f t="shared" si="5"/>
        <v>26</v>
      </c>
    </row>
    <row r="143" spans="1:12" x14ac:dyDescent="0.25">
      <c r="A143" t="s">
        <v>175</v>
      </c>
      <c r="B143" t="s">
        <v>23</v>
      </c>
      <c r="C143" t="s">
        <v>50</v>
      </c>
      <c r="D143" t="s">
        <v>41</v>
      </c>
      <c r="E143" s="2">
        <v>46071</v>
      </c>
      <c r="F143" s="2">
        <v>46081</v>
      </c>
      <c r="G143" s="2">
        <v>46089</v>
      </c>
      <c r="H143" s="2">
        <v>46096</v>
      </c>
      <c r="I143" t="s">
        <v>39</v>
      </c>
      <c r="J143" t="s">
        <v>17</v>
      </c>
      <c r="K143" s="1">
        <v>62000</v>
      </c>
      <c r="L143">
        <f t="shared" si="5"/>
        <v>25</v>
      </c>
    </row>
    <row r="144" spans="1:12" x14ac:dyDescent="0.25">
      <c r="A144" t="s">
        <v>176</v>
      </c>
      <c r="B144" t="s">
        <v>23</v>
      </c>
      <c r="C144" t="s">
        <v>50</v>
      </c>
      <c r="D144" t="s">
        <v>41</v>
      </c>
      <c r="E144" s="2">
        <v>46126</v>
      </c>
      <c r="F144" s="2">
        <v>46133</v>
      </c>
      <c r="G144" s="2"/>
      <c r="H144" s="2"/>
      <c r="I144" t="s">
        <v>39</v>
      </c>
      <c r="J144" t="s">
        <v>26</v>
      </c>
      <c r="K144" s="1"/>
      <c r="L144" t="str">
        <f t="shared" si="5"/>
        <v/>
      </c>
    </row>
    <row r="145" spans="1:12" x14ac:dyDescent="0.25">
      <c r="A145" t="s">
        <v>177</v>
      </c>
      <c r="B145" t="s">
        <v>32</v>
      </c>
      <c r="C145" t="s">
        <v>37</v>
      </c>
      <c r="D145" t="s">
        <v>15</v>
      </c>
      <c r="E145" s="2">
        <v>46191</v>
      </c>
      <c r="F145" s="2">
        <v>46199</v>
      </c>
      <c r="G145" s="2"/>
      <c r="H145" s="2"/>
      <c r="I145" t="s">
        <v>30</v>
      </c>
      <c r="J145" t="s">
        <v>26</v>
      </c>
      <c r="K145" s="1"/>
      <c r="L145" t="str">
        <f t="shared" si="5"/>
        <v/>
      </c>
    </row>
    <row r="146" spans="1:12" x14ac:dyDescent="0.25">
      <c r="A146" t="s">
        <v>178</v>
      </c>
      <c r="B146" t="s">
        <v>32</v>
      </c>
      <c r="C146" t="s">
        <v>37</v>
      </c>
      <c r="D146" t="s">
        <v>15</v>
      </c>
      <c r="E146" s="2">
        <v>46150</v>
      </c>
      <c r="F146" s="2">
        <v>46155</v>
      </c>
      <c r="G146" s="2"/>
      <c r="H146" s="2"/>
      <c r="I146" t="s">
        <v>21</v>
      </c>
      <c r="J146" t="s">
        <v>26</v>
      </c>
      <c r="K146" s="1"/>
      <c r="L146" t="str">
        <f t="shared" si="5"/>
        <v/>
      </c>
    </row>
    <row r="147" spans="1:12" x14ac:dyDescent="0.25">
      <c r="A147" t="s">
        <v>179</v>
      </c>
      <c r="B147" t="s">
        <v>32</v>
      </c>
      <c r="C147" t="s">
        <v>20</v>
      </c>
      <c r="D147" t="s">
        <v>15</v>
      </c>
      <c r="E147" s="2">
        <v>46200</v>
      </c>
      <c r="F147" s="2">
        <v>46209</v>
      </c>
      <c r="G147" s="2">
        <v>46216</v>
      </c>
      <c r="H147" s="2">
        <v>46226</v>
      </c>
      <c r="I147" t="s">
        <v>39</v>
      </c>
      <c r="J147" t="s">
        <v>17</v>
      </c>
      <c r="K147" s="1">
        <v>80000</v>
      </c>
      <c r="L147">
        <f t="shared" si="5"/>
        <v>26</v>
      </c>
    </row>
    <row r="148" spans="1:12" x14ac:dyDescent="0.25">
      <c r="A148" t="s">
        <v>180</v>
      </c>
      <c r="B148" t="s">
        <v>19</v>
      </c>
      <c r="C148" t="s">
        <v>24</v>
      </c>
      <c r="D148" t="s">
        <v>25</v>
      </c>
      <c r="E148" s="2">
        <v>46152</v>
      </c>
      <c r="F148" s="2">
        <v>46160</v>
      </c>
      <c r="G148" s="2">
        <v>46166</v>
      </c>
      <c r="H148" s="2">
        <v>46171</v>
      </c>
      <c r="I148" t="s">
        <v>16</v>
      </c>
      <c r="J148" t="s">
        <v>17</v>
      </c>
      <c r="K148" s="1">
        <v>92000</v>
      </c>
      <c r="L148">
        <f t="shared" si="5"/>
        <v>19</v>
      </c>
    </row>
    <row r="149" spans="1:12" x14ac:dyDescent="0.25">
      <c r="A149" t="s">
        <v>181</v>
      </c>
      <c r="B149" t="s">
        <v>32</v>
      </c>
      <c r="C149" t="s">
        <v>14</v>
      </c>
      <c r="D149" t="s">
        <v>15</v>
      </c>
      <c r="E149" s="2">
        <v>46079</v>
      </c>
      <c r="F149" s="2">
        <v>46088</v>
      </c>
      <c r="G149" s="2">
        <v>46093</v>
      </c>
      <c r="H149" s="2">
        <v>46098</v>
      </c>
      <c r="I149" t="s">
        <v>21</v>
      </c>
      <c r="J149" t="s">
        <v>17</v>
      </c>
      <c r="K149" s="1">
        <v>80000</v>
      </c>
      <c r="L149">
        <f t="shared" si="5"/>
        <v>19</v>
      </c>
    </row>
    <row r="150" spans="1:12" x14ac:dyDescent="0.25">
      <c r="A150" t="s">
        <v>182</v>
      </c>
      <c r="B150" t="s">
        <v>23</v>
      </c>
      <c r="C150" t="s">
        <v>28</v>
      </c>
      <c r="D150" t="s">
        <v>29</v>
      </c>
      <c r="E150" s="2">
        <v>46121</v>
      </c>
      <c r="F150" s="2">
        <v>46131</v>
      </c>
      <c r="G150" s="2"/>
      <c r="H150" s="2"/>
      <c r="I150" t="s">
        <v>39</v>
      </c>
      <c r="J150" t="s">
        <v>26</v>
      </c>
      <c r="K150" s="1"/>
      <c r="L150" t="str">
        <f t="shared" si="5"/>
        <v/>
      </c>
    </row>
    <row r="151" spans="1:12" x14ac:dyDescent="0.25">
      <c r="A151" t="s">
        <v>183</v>
      </c>
      <c r="B151" t="s">
        <v>32</v>
      </c>
      <c r="C151" t="s">
        <v>37</v>
      </c>
      <c r="D151" t="s">
        <v>15</v>
      </c>
      <c r="E151" s="2">
        <v>46138</v>
      </c>
      <c r="F151" s="2">
        <v>46142</v>
      </c>
      <c r="G151" s="2"/>
      <c r="H151" s="2"/>
      <c r="I151" t="s">
        <v>39</v>
      </c>
      <c r="J151" t="s">
        <v>26</v>
      </c>
      <c r="K151" s="1"/>
      <c r="L151" t="str">
        <f t="shared" si="5"/>
        <v/>
      </c>
    </row>
  </sheetData>
  <conditionalFormatting sqref="A2:A15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9"/>
  <sheetViews>
    <sheetView topLeftCell="A31" workbookViewId="0">
      <selection activeCell="D35" activeCellId="1" sqref="A35:A39 D35:D39"/>
    </sheetView>
  </sheetViews>
  <sheetFormatPr defaultRowHeight="15" x14ac:dyDescent="0.25"/>
  <cols>
    <col min="1" max="1" width="21.140625" customWidth="1"/>
    <col min="2" max="2" width="16.28515625" customWidth="1"/>
    <col min="3" max="3" width="15.85546875" bestFit="1" customWidth="1"/>
    <col min="4" max="4" width="11.28515625" customWidth="1"/>
    <col min="5" max="5" width="22.28515625" customWidth="1"/>
    <col min="6" max="6" width="26.28515625" customWidth="1"/>
    <col min="7" max="7" width="27.28515625" bestFit="1" customWidth="1"/>
  </cols>
  <sheetData>
    <row r="3" spans="1:4" x14ac:dyDescent="0.25">
      <c r="A3" s="4" t="s">
        <v>187</v>
      </c>
      <c r="B3" s="4" t="s">
        <v>186</v>
      </c>
    </row>
    <row r="4" spans="1:4" x14ac:dyDescent="0.25">
      <c r="A4" s="4" t="s">
        <v>184</v>
      </c>
      <c r="B4" t="s">
        <v>17</v>
      </c>
      <c r="C4" t="s">
        <v>26</v>
      </c>
      <c r="D4" t="s">
        <v>185</v>
      </c>
    </row>
    <row r="5" spans="1:4" x14ac:dyDescent="0.25">
      <c r="A5" s="5" t="s">
        <v>13</v>
      </c>
      <c r="B5" s="3">
        <v>27</v>
      </c>
      <c r="C5" s="3">
        <v>15</v>
      </c>
      <c r="D5" s="3">
        <v>42</v>
      </c>
    </row>
    <row r="6" spans="1:4" x14ac:dyDescent="0.25">
      <c r="A6" s="5" t="s">
        <v>23</v>
      </c>
      <c r="B6" s="3">
        <v>22</v>
      </c>
      <c r="C6" s="3">
        <v>15</v>
      </c>
      <c r="D6" s="3">
        <v>37</v>
      </c>
    </row>
    <row r="7" spans="1:4" x14ac:dyDescent="0.25">
      <c r="A7" s="5" t="s">
        <v>32</v>
      </c>
      <c r="B7" s="3">
        <v>16</v>
      </c>
      <c r="C7" s="3">
        <v>18</v>
      </c>
      <c r="D7" s="3">
        <v>34</v>
      </c>
    </row>
    <row r="8" spans="1:4" x14ac:dyDescent="0.25">
      <c r="A8" s="5" t="s">
        <v>19</v>
      </c>
      <c r="B8" s="3">
        <v>20</v>
      </c>
      <c r="C8" s="3">
        <v>17</v>
      </c>
      <c r="D8" s="3">
        <v>37</v>
      </c>
    </row>
    <row r="9" spans="1:4" x14ac:dyDescent="0.25">
      <c r="A9" s="5" t="s">
        <v>185</v>
      </c>
      <c r="B9" s="3">
        <v>85</v>
      </c>
      <c r="C9" s="3">
        <v>65</v>
      </c>
      <c r="D9" s="3">
        <v>150</v>
      </c>
    </row>
    <row r="20" spans="1:4" x14ac:dyDescent="0.25">
      <c r="A20" t="s">
        <v>1</v>
      </c>
      <c r="B20" t="s">
        <v>189</v>
      </c>
      <c r="C20" t="s">
        <v>190</v>
      </c>
      <c r="D20" t="s">
        <v>191</v>
      </c>
    </row>
    <row r="21" spans="1:4" x14ac:dyDescent="0.25">
      <c r="A21" t="s">
        <v>13</v>
      </c>
      <c r="B21">
        <f>GETPIVOTDATA("Candidate_ID",$A$3,"Recruiter","Alex","Status ","Hired")</f>
        <v>27</v>
      </c>
      <c r="C21">
        <f>GETPIVOTDATA("Candidate_ID",$A$3,"Recruiter","Alex")</f>
        <v>42</v>
      </c>
      <c r="D21" s="7">
        <f>B21/C21</f>
        <v>0.6428571428571429</v>
      </c>
    </row>
    <row r="22" spans="1:4" x14ac:dyDescent="0.25">
      <c r="A22" t="s">
        <v>23</v>
      </c>
      <c r="B22">
        <f>GETPIVOTDATA("Candidate_ID",$A$3,"Recruiter","David","Status ","Hired")</f>
        <v>22</v>
      </c>
      <c r="C22">
        <f>GETPIVOTDATA("Candidate_ID",$A$3,"Recruiter","David")</f>
        <v>37</v>
      </c>
      <c r="D22" s="7">
        <f t="shared" ref="D22:D24" si="0">B22/C22</f>
        <v>0.59459459459459463</v>
      </c>
    </row>
    <row r="23" spans="1:4" x14ac:dyDescent="0.25">
      <c r="A23" t="s">
        <v>32</v>
      </c>
      <c r="B23">
        <f>GETPIVOTDATA("Candidate_ID",$A$3,"Recruiter","Maria","Status ","Hired")</f>
        <v>16</v>
      </c>
      <c r="C23">
        <f>GETPIVOTDATA("Candidate_ID",$A$3,"Recruiter","Maria")</f>
        <v>34</v>
      </c>
      <c r="D23" s="7">
        <f t="shared" si="0"/>
        <v>0.47058823529411764</v>
      </c>
    </row>
    <row r="24" spans="1:4" x14ac:dyDescent="0.25">
      <c r="A24" t="s">
        <v>19</v>
      </c>
      <c r="B24">
        <f>GETPIVOTDATA("Candidate_ID",$A$3,"Recruiter","Sarah","Status ","Hired")</f>
        <v>20</v>
      </c>
      <c r="C24">
        <f>GETPIVOTDATA("Candidate_ID",$A$3,"Recruiter","Sarah")</f>
        <v>37</v>
      </c>
      <c r="D24" s="7">
        <f t="shared" si="0"/>
        <v>0.54054054054054057</v>
      </c>
    </row>
    <row r="35" spans="1:4" x14ac:dyDescent="0.25">
      <c r="A35" t="s">
        <v>8</v>
      </c>
      <c r="B35" t="s">
        <v>17</v>
      </c>
      <c r="C35" t="s">
        <v>190</v>
      </c>
      <c r="D35" t="s">
        <v>191</v>
      </c>
    </row>
    <row r="36" spans="1:4" x14ac:dyDescent="0.25">
      <c r="A36" t="s">
        <v>39</v>
      </c>
      <c r="B36">
        <f>GETPIVOTDATA("Candidate_ID",Sheet5!$A$3,"Source","Company Website","Status ","Hired")</f>
        <v>23</v>
      </c>
      <c r="C36">
        <f>GETPIVOTDATA("Candidate_ID",Sheet5!$A$3,"Source","Company Website")</f>
        <v>39</v>
      </c>
      <c r="D36" s="7">
        <f>B36/C36</f>
        <v>0.58974358974358976</v>
      </c>
    </row>
    <row r="37" spans="1:4" x14ac:dyDescent="0.25">
      <c r="A37" t="s">
        <v>21</v>
      </c>
      <c r="B37">
        <f>GETPIVOTDATA("Candidate_ID",Sheet5!$A$3,"Source","Indeed","Status ","Hired")</f>
        <v>16</v>
      </c>
      <c r="C37">
        <f>GETPIVOTDATA("Candidate_ID",Sheet5!$A$3,"Source","Indeed")</f>
        <v>33</v>
      </c>
      <c r="D37" s="7">
        <f t="shared" ref="D37:D39" si="1">B37/C37</f>
        <v>0.48484848484848486</v>
      </c>
    </row>
    <row r="38" spans="1:4" x14ac:dyDescent="0.25">
      <c r="A38" t="s">
        <v>16</v>
      </c>
      <c r="B38">
        <f>GETPIVOTDATA("Candidate_ID",Sheet5!$A$3,"Source","LinkedIn","Status ","Hired")</f>
        <v>21</v>
      </c>
      <c r="C38">
        <f>GETPIVOTDATA("Candidate_ID",Sheet5!$A$3,"Source","LinkedIn")</f>
        <v>39</v>
      </c>
      <c r="D38" s="7">
        <f t="shared" si="1"/>
        <v>0.53846153846153844</v>
      </c>
    </row>
    <row r="39" spans="1:4" x14ac:dyDescent="0.25">
      <c r="A39" t="s">
        <v>30</v>
      </c>
      <c r="B39">
        <f>GETPIVOTDATA("Candidate_ID",Sheet5!$A$3,"Source","Referral","Status ","Hired")</f>
        <v>25</v>
      </c>
      <c r="C39">
        <f>GETPIVOTDATA("Candidate_ID",Sheet5!$A$3,"Source","Referral")</f>
        <v>39</v>
      </c>
      <c r="D39" s="7">
        <f t="shared" si="1"/>
        <v>0.64102564102564108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showGridLines="0" zoomScaleNormal="100" workbookViewId="0">
      <selection activeCell="L17" sqref="L17"/>
    </sheetView>
  </sheetViews>
  <sheetFormatPr defaultRowHeight="15" x14ac:dyDescent="0.25"/>
  <cols>
    <col min="2" max="2" width="66.5703125" customWidth="1"/>
    <col min="3" max="3" width="10.5703125" bestFit="1" customWidth="1"/>
  </cols>
  <sheetData>
    <row r="2" spans="2:3" ht="31.5" x14ac:dyDescent="0.5">
      <c r="B2" s="11" t="s">
        <v>192</v>
      </c>
    </row>
    <row r="5" spans="2:3" ht="21" x14ac:dyDescent="0.35">
      <c r="B5" s="12" t="s">
        <v>190</v>
      </c>
      <c r="C5" s="13">
        <v>150</v>
      </c>
    </row>
    <row r="6" spans="2:3" ht="21" x14ac:dyDescent="0.35">
      <c r="B6" s="12" t="s">
        <v>193</v>
      </c>
      <c r="C6" s="13">
        <v>85</v>
      </c>
    </row>
    <row r="7" spans="2:3" ht="21" x14ac:dyDescent="0.35">
      <c r="B7" s="12" t="s">
        <v>194</v>
      </c>
      <c r="C7" s="13">
        <v>65</v>
      </c>
    </row>
    <row r="8" spans="2:3" ht="21" x14ac:dyDescent="0.35">
      <c r="B8" s="12" t="s">
        <v>195</v>
      </c>
      <c r="C8" s="14">
        <v>0.56669999999999998</v>
      </c>
    </row>
    <row r="9" spans="2:3" ht="21" x14ac:dyDescent="0.35">
      <c r="B9" s="12" t="s">
        <v>196</v>
      </c>
      <c r="C9" s="13">
        <v>20.98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4" workbookViewId="0">
      <selection activeCell="A22" sqref="A22"/>
    </sheetView>
  </sheetViews>
  <sheetFormatPr defaultRowHeight="15" x14ac:dyDescent="0.25"/>
  <sheetData>
    <row r="1" spans="1:2" ht="23.25" x14ac:dyDescent="0.35">
      <c r="A1" s="10" t="s">
        <v>197</v>
      </c>
      <c r="B1" s="15"/>
    </row>
    <row r="3" spans="1:2" x14ac:dyDescent="0.25">
      <c r="A3" s="8" t="s">
        <v>198</v>
      </c>
    </row>
    <row r="4" spans="1:2" x14ac:dyDescent="0.25">
      <c r="A4" s="16" t="s">
        <v>199</v>
      </c>
    </row>
    <row r="6" spans="1:2" x14ac:dyDescent="0.25">
      <c r="A6" s="8" t="s">
        <v>200</v>
      </c>
    </row>
    <row r="7" spans="1:2" x14ac:dyDescent="0.25">
      <c r="A7" s="16" t="s">
        <v>201</v>
      </c>
    </row>
    <row r="9" spans="1:2" x14ac:dyDescent="0.25">
      <c r="A9" s="8" t="s">
        <v>202</v>
      </c>
    </row>
    <row r="10" spans="1:2" x14ac:dyDescent="0.25">
      <c r="A10" t="s">
        <v>203</v>
      </c>
    </row>
    <row r="12" spans="1:2" x14ac:dyDescent="0.25">
      <c r="A12" s="8" t="s">
        <v>204</v>
      </c>
    </row>
    <row r="13" spans="1:2" x14ac:dyDescent="0.25">
      <c r="A13" t="s">
        <v>205</v>
      </c>
    </row>
    <row r="15" spans="1:2" x14ac:dyDescent="0.25">
      <c r="A15" s="8" t="s">
        <v>206</v>
      </c>
    </row>
    <row r="16" spans="1:2" x14ac:dyDescent="0.25">
      <c r="A16" t="s">
        <v>207</v>
      </c>
    </row>
    <row r="18" spans="1:1" ht="18.75" x14ac:dyDescent="0.3">
      <c r="A18" s="9" t="s">
        <v>208</v>
      </c>
    </row>
    <row r="20" spans="1:1" x14ac:dyDescent="0.25">
      <c r="A20" t="s">
        <v>209</v>
      </c>
    </row>
    <row r="21" spans="1:1" x14ac:dyDescent="0.25">
      <c r="A21" t="s">
        <v>210</v>
      </c>
    </row>
    <row r="22" spans="1:1" x14ac:dyDescent="0.25">
      <c r="A22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4" sqref="B4"/>
    </sheetView>
  </sheetViews>
  <sheetFormatPr defaultRowHeight="15" x14ac:dyDescent="0.25"/>
  <cols>
    <col min="1" max="1" width="17.42578125" customWidth="1"/>
    <col min="2" max="2" width="21.140625" bestFit="1" customWidth="1"/>
  </cols>
  <sheetData>
    <row r="1" spans="1:2" x14ac:dyDescent="0.25">
      <c r="A1" s="4" t="s">
        <v>9</v>
      </c>
      <c r="B1" t="s">
        <v>17</v>
      </c>
    </row>
    <row r="3" spans="1:2" x14ac:dyDescent="0.25">
      <c r="A3" s="4" t="s">
        <v>184</v>
      </c>
      <c r="B3" t="s">
        <v>187</v>
      </c>
    </row>
    <row r="4" spans="1:2" x14ac:dyDescent="0.25">
      <c r="A4" s="5" t="s">
        <v>39</v>
      </c>
      <c r="B4" s="3">
        <v>23</v>
      </c>
    </row>
    <row r="5" spans="1:2" x14ac:dyDescent="0.25">
      <c r="A5" s="5" t="s">
        <v>21</v>
      </c>
      <c r="B5" s="3">
        <v>16</v>
      </c>
    </row>
    <row r="6" spans="1:2" x14ac:dyDescent="0.25">
      <c r="A6" s="5" t="s">
        <v>16</v>
      </c>
      <c r="B6" s="3">
        <v>21</v>
      </c>
    </row>
    <row r="7" spans="1:2" x14ac:dyDescent="0.25">
      <c r="A7" s="5" t="s">
        <v>30</v>
      </c>
      <c r="B7" s="3">
        <v>25</v>
      </c>
    </row>
    <row r="8" spans="1:2" x14ac:dyDescent="0.25">
      <c r="A8" s="5" t="s">
        <v>185</v>
      </c>
      <c r="B8" s="3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L14" sqref="L14"/>
    </sheetView>
  </sheetViews>
  <sheetFormatPr defaultRowHeight="15" x14ac:dyDescent="0.25"/>
  <cols>
    <col min="1" max="1" width="17.42578125" customWidth="1"/>
    <col min="2" max="2" width="23.140625" customWidth="1"/>
    <col min="3" max="3" width="11.28515625" customWidth="1"/>
    <col min="4" max="4" width="11.28515625" bestFit="1" customWidth="1"/>
  </cols>
  <sheetData>
    <row r="1" spans="1:2" x14ac:dyDescent="0.25">
      <c r="A1" s="4" t="s">
        <v>9</v>
      </c>
      <c r="B1" t="s">
        <v>17</v>
      </c>
    </row>
    <row r="3" spans="1:2" x14ac:dyDescent="0.25">
      <c r="A3" s="4" t="s">
        <v>184</v>
      </c>
      <c r="B3" t="s">
        <v>188</v>
      </c>
    </row>
    <row r="4" spans="1:2" x14ac:dyDescent="0.25">
      <c r="A4" s="5" t="s">
        <v>39</v>
      </c>
      <c r="B4" s="6">
        <v>21.608695652173914</v>
      </c>
    </row>
    <row r="5" spans="1:2" x14ac:dyDescent="0.25">
      <c r="A5" s="5" t="s">
        <v>21</v>
      </c>
      <c r="B5" s="6">
        <v>20.5625</v>
      </c>
    </row>
    <row r="6" spans="1:2" x14ac:dyDescent="0.25">
      <c r="A6" s="5" t="s">
        <v>16</v>
      </c>
      <c r="B6" s="6">
        <v>20.428571428571427</v>
      </c>
    </row>
    <row r="7" spans="1:2" x14ac:dyDescent="0.25">
      <c r="A7" s="5" t="s">
        <v>30</v>
      </c>
      <c r="B7" s="6">
        <v>21.12</v>
      </c>
    </row>
    <row r="8" spans="1:2" x14ac:dyDescent="0.25">
      <c r="A8" s="5" t="s">
        <v>185</v>
      </c>
      <c r="B8" s="6">
        <v>20.976470588235294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B5" sqref="B5"/>
    </sheetView>
  </sheetViews>
  <sheetFormatPr defaultRowHeight="15" x14ac:dyDescent="0.25"/>
  <cols>
    <col min="1" max="1" width="21.140625" customWidth="1"/>
    <col min="2" max="2" width="16.28515625" customWidth="1"/>
    <col min="3" max="3" width="8.85546875" customWidth="1"/>
    <col min="4" max="4" width="11.28515625" bestFit="1" customWidth="1"/>
  </cols>
  <sheetData>
    <row r="3" spans="1:4" x14ac:dyDescent="0.25">
      <c r="A3" s="4" t="s">
        <v>187</v>
      </c>
      <c r="B3" s="4" t="s">
        <v>186</v>
      </c>
    </row>
    <row r="4" spans="1:4" x14ac:dyDescent="0.25">
      <c r="A4" s="4" t="s">
        <v>184</v>
      </c>
      <c r="B4" t="s">
        <v>17</v>
      </c>
      <c r="C4" t="s">
        <v>26</v>
      </c>
      <c r="D4" t="s">
        <v>185</v>
      </c>
    </row>
    <row r="5" spans="1:4" x14ac:dyDescent="0.25">
      <c r="A5" s="5" t="s">
        <v>39</v>
      </c>
      <c r="B5" s="3">
        <v>23</v>
      </c>
      <c r="C5" s="3">
        <v>16</v>
      </c>
      <c r="D5" s="3">
        <v>39</v>
      </c>
    </row>
    <row r="6" spans="1:4" x14ac:dyDescent="0.25">
      <c r="A6" s="5" t="s">
        <v>21</v>
      </c>
      <c r="B6" s="3">
        <v>16</v>
      </c>
      <c r="C6" s="3">
        <v>17</v>
      </c>
      <c r="D6" s="3">
        <v>33</v>
      </c>
    </row>
    <row r="7" spans="1:4" x14ac:dyDescent="0.25">
      <c r="A7" s="5" t="s">
        <v>16</v>
      </c>
      <c r="B7" s="3">
        <v>21</v>
      </c>
      <c r="C7" s="3">
        <v>18</v>
      </c>
      <c r="D7" s="3">
        <v>39</v>
      </c>
    </row>
    <row r="8" spans="1:4" x14ac:dyDescent="0.25">
      <c r="A8" s="5" t="s">
        <v>30</v>
      </c>
      <c r="B8" s="3">
        <v>25</v>
      </c>
      <c r="C8" s="3">
        <v>14</v>
      </c>
      <c r="D8" s="3">
        <v>39</v>
      </c>
    </row>
    <row r="9" spans="1:4" x14ac:dyDescent="0.25">
      <c r="A9" s="5" t="s">
        <v>185</v>
      </c>
      <c r="B9" s="3">
        <v>85</v>
      </c>
      <c r="C9" s="3">
        <v>65</v>
      </c>
      <c r="D9" s="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Recruitment_Data</vt:lpstr>
      <vt:lpstr>Recruiter_Analysis</vt:lpstr>
      <vt:lpstr>Recruitment Dashboard</vt:lpstr>
      <vt:lpstr>Insights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Masood Ali</dc:creator>
  <cp:lastModifiedBy>Mohammed Masood Ali</cp:lastModifiedBy>
  <dcterms:created xsi:type="dcterms:W3CDTF">2026-09-17T11:35:35Z</dcterms:created>
  <dcterms:modified xsi:type="dcterms:W3CDTF">2026-09-17T16:05:07Z</dcterms:modified>
</cp:coreProperties>
</file>